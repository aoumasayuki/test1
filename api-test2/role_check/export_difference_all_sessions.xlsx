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22002/AndroidStudioProjects/test1/jinro/api-test2/role_check/"/>
    </mc:Choice>
  </mc:AlternateContent>
  <xr:revisionPtr revIDLastSave="0" documentId="13_ncr:1_{02434256-CE16-B443-A241-0496ADC7D4FE}" xr6:coauthVersionLast="47" xr6:coauthVersionMax="47" xr10:uidLastSave="{00000000-0000-0000-0000-000000000000}"/>
  <bookViews>
    <workbookView xWindow="240" yWindow="500" windowWidth="15160" windowHeight="16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 a="1"/>
  <c r="J25" i="1" s="1"/>
  <c r="J28" i="1" a="1"/>
  <c r="J28" i="1" s="1"/>
  <c r="J22" i="1" a="1"/>
  <c r="J22" i="1" s="1"/>
  <c r="F36" i="1"/>
  <c r="J42" i="1" a="1"/>
  <c r="J42" i="1" s="1"/>
  <c r="J41" i="1" a="1"/>
  <c r="J41" i="1" s="1"/>
  <c r="J39" i="1" a="1"/>
  <c r="J39" i="1" s="1"/>
  <c r="J38" i="1" a="1"/>
  <c r="J38" i="1" s="1"/>
  <c r="J37" i="1" a="1"/>
  <c r="J37" i="1" s="1"/>
  <c r="J35" i="1" a="1"/>
  <c r="J35" i="1" s="1"/>
  <c r="J33" i="1" a="1"/>
  <c r="J33" i="1" s="1"/>
  <c r="J32" i="1" a="1"/>
  <c r="J32" i="1" s="1"/>
  <c r="J30" i="1" a="1"/>
  <c r="J30" i="1" s="1"/>
  <c r="J29" i="1" a="1"/>
  <c r="J29" i="1" s="1"/>
  <c r="J18" i="1" a="1"/>
  <c r="J18" i="1" s="1"/>
  <c r="J16" i="1" a="1"/>
  <c r="J16" i="1" s="1"/>
  <c r="J15" i="1" a="1"/>
  <c r="J15" i="1" s="1"/>
  <c r="J14" i="1" a="1"/>
  <c r="J14" i="1" s="1"/>
  <c r="J12" i="1" a="1"/>
  <c r="J12" i="1" s="1"/>
  <c r="J11" i="1" a="1"/>
  <c r="J11" i="1" s="1"/>
  <c r="J10" i="1" a="1"/>
  <c r="J10" i="1" s="1"/>
  <c r="J8" i="1" a="1"/>
  <c r="J8" i="1" s="1"/>
  <c r="J6" i="1" a="1"/>
  <c r="J6" i="1" s="1"/>
  <c r="J5" i="1" a="1"/>
  <c r="J5" i="1" s="1"/>
  <c r="J3" i="1" a="1"/>
  <c r="J3" i="1" s="1"/>
  <c r="J2" i="1" a="1"/>
  <c r="J2" i="1" s="1"/>
  <c r="D81" i="1" a="1"/>
  <c r="D81" i="1" s="1"/>
  <c r="F81" i="1" s="1"/>
  <c r="D83" i="1" a="1"/>
  <c r="D83" i="1" s="1"/>
  <c r="J31" i="1" s="1" a="1"/>
  <c r="J31" i="1" s="1"/>
  <c r="D84" i="1" a="1"/>
  <c r="D84" i="1" s="1"/>
  <c r="F84" i="1" s="1"/>
  <c r="D86" i="1" a="1"/>
  <c r="D86" i="1" s="1"/>
  <c r="F86" i="1" s="1"/>
  <c r="J9" i="1" s="1" a="1"/>
  <c r="J9" i="1" s="1"/>
  <c r="D82" i="1" a="1"/>
  <c r="D82" i="1" s="1"/>
  <c r="F82" i="1" s="1"/>
  <c r="J34" i="1" l="1" a="1"/>
  <c r="J34" i="1" s="1"/>
  <c r="J23" i="1" a="1"/>
  <c r="J23" i="1" s="1"/>
  <c r="J17" i="1" a="1"/>
  <c r="J17" i="1" s="1"/>
  <c r="J7" i="1" a="1"/>
  <c r="J7" i="1" s="1"/>
  <c r="J27" i="1" a="1"/>
  <c r="J27" i="1" s="1"/>
  <c r="J20" i="1" a="1"/>
  <c r="J20" i="1" s="1"/>
  <c r="J26" i="1" a="1"/>
  <c r="J26" i="1" s="1"/>
  <c r="J21" i="1" a="1"/>
  <c r="J21" i="1" s="1"/>
  <c r="J13" i="1" a="1"/>
  <c r="J13" i="1" s="1"/>
  <c r="J40" i="1" a="1"/>
  <c r="J40" i="1" s="1"/>
  <c r="J36" i="1" a="1"/>
  <c r="J36" i="1" s="1"/>
  <c r="F83" i="1"/>
  <c r="J24" i="1" l="1" a="1"/>
  <c r="J24" i="1" s="1"/>
  <c r="J4" i="1" a="1"/>
  <c r="J4" i="1" s="1"/>
  <c r="J19" i="1" a="1"/>
  <c r="J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<sst xmlns="http://schemas.openxmlformats.org/spreadsheetml/2006/main" count="194" uniqueCount="65">
  <si>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</si>
  <si>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</si>
  <si>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</si>
  <si>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</si>
  <si>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</si>
  <si>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</si>
  <si>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</si>
  <si>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せいけん</t>
  </si>
  <si>
    <t>しか</t>
  </si>
  <si>
    <t>にし</t>
  </si>
  <si>
    <t>あやか</t>
  </si>
  <si>
    <t>とがわ</t>
  </si>
  <si>
    <t>なかむら</t>
  </si>
  <si>
    <t>いのうえ</t>
  </si>
  <si>
    <t>とも</t>
  </si>
  <si>
    <t>かつい</t>
  </si>
  <si>
    <t>なつき</t>
  </si>
  <si>
    <t>えなみ</t>
  </si>
  <si>
    <t>はやと</t>
  </si>
  <si>
    <t>ふーま</t>
  </si>
  <si>
    <t>はなだ</t>
  </si>
  <si>
    <t>ふせや</t>
  </si>
  <si>
    <t>りゅうき</t>
  </si>
  <si>
    <t>にわ</t>
  </si>
  <si>
    <t>いしい</t>
  </si>
  <si>
    <t>たつなり</t>
  </si>
  <si>
    <t>ひろと</t>
  </si>
  <si>
    <t>まきの</t>
  </si>
  <si>
    <t>ごまもの</t>
  </si>
  <si>
    <t>村人</t>
    <rPh sb="0" eb="2">
      <t>ムラビト</t>
    </rPh>
    <phoneticPr fontId="2"/>
  </si>
  <si>
    <t>人狼</t>
    <rPh sb="0" eb="2">
      <t>ジンロウ</t>
    </rPh>
    <phoneticPr fontId="2"/>
  </si>
  <si>
    <t>共犯</t>
    <rPh sb="0" eb="2">
      <t>キョウ</t>
    </rPh>
    <phoneticPr fontId="2"/>
  </si>
  <si>
    <t>村人</t>
    <rPh sb="0" eb="1">
      <t>ムラビト</t>
    </rPh>
    <phoneticPr fontId="2"/>
  </si>
  <si>
    <t>人狼</t>
    <rPh sb="0" eb="1">
      <t>ジンロウ</t>
    </rPh>
    <phoneticPr fontId="2"/>
  </si>
  <si>
    <t>霊媒</t>
    <rPh sb="0" eb="2">
      <t>レイバイ</t>
    </rPh>
    <phoneticPr fontId="2"/>
  </si>
  <si>
    <t>預言</t>
    <rPh sb="0" eb="2">
      <t>ヨゲn</t>
    </rPh>
    <phoneticPr fontId="2"/>
  </si>
  <si>
    <t>人狼</t>
  </si>
  <si>
    <t>村人</t>
  </si>
  <si>
    <t>霊媒</t>
  </si>
  <si>
    <t>預言</t>
  </si>
  <si>
    <t>共犯</t>
  </si>
  <si>
    <t>騎士</t>
  </si>
  <si>
    <t>騎士</t>
    <rPh sb="0" eb="2">
      <t>キセィ</t>
    </rPh>
    <phoneticPr fontId="2"/>
  </si>
  <si>
    <t>妖狐</t>
    <rPh sb="0" eb="2">
      <t xml:space="preserve">ヨウコ </t>
    </rPh>
    <phoneticPr fontId="2"/>
  </si>
  <si>
    <t>預言</t>
    <rPh sb="0" eb="1">
      <t>ヨゲn</t>
    </rPh>
    <phoneticPr fontId="2"/>
  </si>
  <si>
    <t>はなだ</t>
    <phoneticPr fontId="2"/>
  </si>
  <si>
    <t>共犯</t>
    <rPh sb="0" eb="1">
      <t>キョウ</t>
    </rPh>
    <phoneticPr fontId="2"/>
  </si>
  <si>
    <t>騎士</t>
    <rPh sb="0" eb="1">
      <t>キセィ</t>
    </rPh>
    <phoneticPr fontId="2"/>
  </si>
  <si>
    <t>妖狐</t>
    <rPh sb="0" eb="2">
      <t>ヨウコ</t>
    </rPh>
    <phoneticPr fontId="2"/>
  </si>
  <si>
    <t>霊媒</t>
    <rPh sb="0" eb="1">
      <t>レイバイ</t>
    </rPh>
    <phoneticPr fontId="2"/>
  </si>
  <si>
    <t>騎士</t>
    <rPh sb="0" eb="2">
      <t xml:space="preserve">キシ </t>
    </rPh>
    <phoneticPr fontId="2"/>
  </si>
  <si>
    <t>あやか</t>
    <phoneticPr fontId="2"/>
  </si>
  <si>
    <t>なつき</t>
    <phoneticPr fontId="2"/>
  </si>
  <si>
    <t>えなみ</t>
    <phoneticPr fontId="2"/>
  </si>
  <si>
    <t>はやと</t>
    <phoneticPr fontId="2"/>
  </si>
  <si>
    <t>なかむら</t>
    <phoneticPr fontId="2"/>
  </si>
  <si>
    <t>ふーま</t>
    <phoneticPr fontId="2"/>
  </si>
  <si>
    <t>せいけん</t>
    <phoneticPr fontId="2"/>
  </si>
  <si>
    <t>とも</t>
    <phoneticPr fontId="2"/>
  </si>
  <si>
    <t>とがわ</t>
    <phoneticPr fontId="2"/>
  </si>
  <si>
    <t>りゅうき</t>
    <phoneticPr fontId="2"/>
  </si>
  <si>
    <t>しか</t>
    <phoneticPr fontId="2"/>
  </si>
  <si>
    <t>にわ</t>
    <phoneticPr fontId="2"/>
  </si>
  <si>
    <t>いしい</t>
    <phoneticPr fontId="2"/>
  </si>
  <si>
    <t>村人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</si>
</sst>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S PGothic"/>
      <family val="2"/>
      <charset val="128"/>
    </font>
    <font>
      <sz val="11"/>
      <color rgb="FF00000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tabSelected="1" topLeftCell="C23" zoomScale="150" workbookViewId="0">
      <selection activeCell="F19" sqref="F19"/>
    </sheetView>
  </sheetViews>
  <sheetFormatPr baseColWidth="10" defaultColWidth="8.83203125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6">
      <c r="A2">
        <v>2</v>
      </c>
      <c r="B2">
        <v>1</v>
      </c>
      <c r="C2" t="s">
        <v>7</v>
      </c>
      <c r="D2">
        <v>80.114906832298132</v>
      </c>
      <c r="E2">
        <v>77.942675159235662</v>
      </c>
      <c r="F2">
        <v>-2.1722316730624698</v>
      </c>
      <c r="G2">
        <v>314</v>
      </c>
      <c r="H2" s="2" t="s">
        <v>37</v>
      </c>
      <c r="I2" t="s">
        <v>51</v>
      </c>
      <c r="J2" cm="1">
        <f t="array" ref="J2:P2">TRANSPOSE(_xlfn._xlws.FILTER(F:F, C:C=I2))</f>
        <v>-0.65686705552461433</v>
      </c>
      <c r="K2">
        <v>-0.42641079850382368</v>
      </c>
      <c r="L2">
        <v>-6.8951048951048932</v>
      </c>
      <c r="M2">
        <v>5.491338582677173</v>
      </c>
      <c r="N2">
        <v>-1.076559002238568</v>
      </c>
      <c r="O2">
        <v>-3.1085865436787832</v>
      </c>
      <c r="P2">
        <v>-2.8380421806605649</v>
      </c>
    </row>
    <row r="3" spans="1:36">
      <c r="I3" t="s">
        <v>52</v>
      </c>
      <c r="J3" cm="1">
        <f t="array" ref="J3:N3">TRANSPOSE(_xlfn._xlws.FILTER(F:F, C:C=I3))</f>
        <v>-5.0914918414918446</v>
      </c>
      <c r="K3">
        <v>-2.591946597760554</v>
      </c>
      <c r="L3">
        <v>3.041034504833235</v>
      </c>
      <c r="M3">
        <v>4.8439606741573016</v>
      </c>
      <c r="N3">
        <v>-6.5751294200228054</v>
      </c>
    </row>
    <row r="4" spans="1:36">
      <c r="A4">
        <v>2</v>
      </c>
      <c r="B4">
        <v>3</v>
      </c>
      <c r="C4" t="s">
        <v>9</v>
      </c>
      <c r="D4">
        <v>75.438311688311686</v>
      </c>
      <c r="E4">
        <v>79.094488188976385</v>
      </c>
      <c r="F4">
        <v>3.6561765006646989</v>
      </c>
      <c r="G4">
        <v>254</v>
      </c>
      <c r="H4" s="2" t="s">
        <v>39</v>
      </c>
      <c r="I4" t="s">
        <v>53</v>
      </c>
      <c r="J4" cm="1">
        <f t="array" ref="J4:O4">TRANSPOSE(_xlfn._xlws.FILTER(F:F, C:C=I4))</f>
        <v>2.862251523324332</v>
      </c>
      <c r="K4">
        <v>4.8680154142581813</v>
      </c>
      <c r="L4">
        <v>1.594651952461803</v>
      </c>
      <c r="M4">
        <v>1.8285123966942081</v>
      </c>
      <c r="N4">
        <v>3.9064874342489868</v>
      </c>
      <c r="O4">
        <v>-4.4777382675507482</v>
      </c>
    </row>
    <row r="5" spans="1:36">
      <c r="A5">
        <v>2</v>
      </c>
      <c r="B5">
        <v>4</v>
      </c>
      <c r="C5" t="s">
        <v>10</v>
      </c>
      <c r="D5">
        <v>87.957186544342505</v>
      </c>
      <c r="E5">
        <v>87.300319488817891</v>
      </c>
      <c r="F5">
        <v>-0.65686705552461433</v>
      </c>
      <c r="G5">
        <v>313</v>
      </c>
      <c r="H5" s="2" t="s">
        <v>37</v>
      </c>
      <c r="I5" t="s">
        <v>54</v>
      </c>
      <c r="J5" cm="1">
        <f t="array" ref="J5">TRANSPOSE(_xlfn._xlws.FILTER(F:F, C:C=I5))</f>
        <v>-5.3289451041128899</v>
      </c>
    </row>
    <row r="6" spans="1:36">
      <c r="A6">
        <v>2</v>
      </c>
      <c r="B6">
        <v>5</v>
      </c>
      <c r="C6" t="s">
        <v>11</v>
      </c>
      <c r="D6">
        <v>79.181818181818187</v>
      </c>
      <c r="E6">
        <v>89.881578947368425</v>
      </c>
      <c r="F6">
        <v>10.69976076555024</v>
      </c>
      <c r="G6">
        <v>304</v>
      </c>
      <c r="H6" s="2" t="s">
        <v>36</v>
      </c>
      <c r="I6" t="s">
        <v>55</v>
      </c>
      <c r="J6" cm="1">
        <f t="array" ref="J6:M6">TRANSPOSE(_xlfn._xlws.FILTER(F:F, C:C=I6))</f>
        <v>5.8185728917719359</v>
      </c>
      <c r="K6">
        <v>-0.79477611940298232</v>
      </c>
      <c r="L6">
        <v>-15.96666666666667</v>
      </c>
      <c r="M6">
        <v>8.2089607595875691</v>
      </c>
    </row>
    <row r="7" spans="1:36">
      <c r="A7">
        <v>2</v>
      </c>
      <c r="B7">
        <v>6</v>
      </c>
      <c r="C7" t="s">
        <v>12</v>
      </c>
      <c r="D7">
        <v>85.029702970297024</v>
      </c>
      <c r="E7">
        <v>90.848275862068959</v>
      </c>
      <c r="F7">
        <v>5.8185728917719359</v>
      </c>
      <c r="G7">
        <v>290</v>
      </c>
      <c r="H7" s="2" t="s">
        <v>36</v>
      </c>
      <c r="I7" t="s">
        <v>56</v>
      </c>
      <c r="J7" cm="1">
        <f t="array" ref="J7:K7">TRANSPOSE(_xlfn._xlws.FILTER(F:F, C:C=I7))</f>
        <v>4.2103418054338277</v>
      </c>
      <c r="K7">
        <v>7.6684947635867928</v>
      </c>
    </row>
    <row r="8" spans="1:36">
      <c r="A8">
        <v>2</v>
      </c>
      <c r="B8">
        <v>7</v>
      </c>
      <c r="C8" t="s">
        <v>13</v>
      </c>
      <c r="D8">
        <v>80.572580645161295</v>
      </c>
      <c r="E8">
        <v>84.691029900332225</v>
      </c>
      <c r="F8">
        <v>4.1184492551709297</v>
      </c>
      <c r="G8">
        <v>301</v>
      </c>
      <c r="H8" s="2" t="s">
        <v>41</v>
      </c>
      <c r="I8" t="s">
        <v>45</v>
      </c>
      <c r="J8" cm="1">
        <f t="array" ref="J8:M8">TRANSPOSE(_xlfn._xlws.FILTER(F:F, C:C=I8))</f>
        <v>1.5427078229625979</v>
      </c>
      <c r="K8">
        <v>5.5790960451977298</v>
      </c>
      <c r="L8">
        <v>2.37344636004353</v>
      </c>
      <c r="M8">
        <v>0.1602434077079096</v>
      </c>
    </row>
    <row r="9" spans="1:36">
      <c r="A9">
        <v>2</v>
      </c>
      <c r="B9">
        <v>8</v>
      </c>
      <c r="C9" t="s">
        <v>14</v>
      </c>
      <c r="D9">
        <v>65.573643410852711</v>
      </c>
      <c r="E9">
        <v>76.823717948717942</v>
      </c>
      <c r="F9">
        <v>11.250074537865229</v>
      </c>
      <c r="G9">
        <v>312</v>
      </c>
      <c r="H9" s="2" t="s">
        <v>38</v>
      </c>
      <c r="I9" t="s">
        <v>57</v>
      </c>
      <c r="J9" cm="1">
        <f t="array" ref="J9:O9">TRANSPOSE(_xlfn._xlws.FILTER(F:F, C:C=I9))</f>
        <v>-2.1722316730624698</v>
      </c>
      <c r="K9">
        <v>-0.82173601147775344</v>
      </c>
      <c r="L9">
        <v>-24.886152665899498</v>
      </c>
      <c r="M9">
        <v>-2.5597418454561311</v>
      </c>
      <c r="N9">
        <v>4.9999999999997158E-2</v>
      </c>
      <c r="O9">
        <v>-7.6443191043519931</v>
      </c>
    </row>
    <row r="10" spans="1:36">
      <c r="A10">
        <v>2</v>
      </c>
      <c r="B10">
        <v>9</v>
      </c>
      <c r="C10" t="s">
        <v>15</v>
      </c>
      <c r="D10">
        <v>89.791044776119406</v>
      </c>
      <c r="E10">
        <v>91.21974522292993</v>
      </c>
      <c r="F10">
        <v>1.428700446810524</v>
      </c>
      <c r="G10">
        <v>314</v>
      </c>
      <c r="H10" s="2" t="s">
        <v>37</v>
      </c>
      <c r="I10" t="s">
        <v>58</v>
      </c>
      <c r="J10" cm="1">
        <f t="array" ref="J10:M10">TRANSPOSE(_xlfn._xlws.FILTER(F:F, C:C=I10))</f>
        <v>11.250074537865229</v>
      </c>
      <c r="K10">
        <v>-3.6610389610389551</v>
      </c>
      <c r="L10">
        <v>-3.9316017316017309</v>
      </c>
      <c r="M10">
        <v>-2.906048906048397E-2</v>
      </c>
    </row>
    <row r="11" spans="1:36">
      <c r="A11">
        <v>3</v>
      </c>
      <c r="B11">
        <v>1</v>
      </c>
      <c r="C11" t="s">
        <v>7</v>
      </c>
      <c r="D11">
        <v>79.455882352941174</v>
      </c>
      <c r="E11">
        <v>78.634146341463421</v>
      </c>
      <c r="F11">
        <v>-0.82173601147775344</v>
      </c>
      <c r="G11">
        <v>41</v>
      </c>
      <c r="H11" s="3" t="s">
        <v>36</v>
      </c>
      <c r="I11" t="s">
        <v>59</v>
      </c>
      <c r="J11" cm="1">
        <f t="array" ref="J11:R11">TRANSPOSE(_xlfn._xlws.FILTER(F:F, C:C=I11))</f>
        <v>10.69976076555024</v>
      </c>
      <c r="K11">
        <v>6.7816205533596872</v>
      </c>
      <c r="L11">
        <v>3.3182539682539698</v>
      </c>
      <c r="M11">
        <v>-3.684659090909093</v>
      </c>
      <c r="N11">
        <v>-8.9780300607611139</v>
      </c>
      <c r="O11">
        <v>-3.2908163265306172</v>
      </c>
      <c r="P11">
        <v>4.748871955774689</v>
      </c>
      <c r="Q11">
        <v>2.5466286799620121</v>
      </c>
      <c r="R11">
        <v>1.8351548269581031</v>
      </c>
    </row>
    <row r="12" spans="1:36">
      <c r="I12" t="s">
        <v>60</v>
      </c>
      <c r="J12" cm="1">
        <f t="array" ref="J12:K12">TRANSPOSE(_xlfn._xlws.FILTER(F:F, C:C=I12))</f>
        <v>2.6884100174723362</v>
      </c>
      <c r="K12">
        <v>-11.40178571428571</v>
      </c>
    </row>
    <row r="13" spans="1:36">
      <c r="A13">
        <v>3</v>
      </c>
      <c r="B13">
        <v>4</v>
      </c>
      <c r="C13" t="s">
        <v>10</v>
      </c>
      <c r="D13">
        <v>84.35664335664336</v>
      </c>
      <c r="E13">
        <v>83.930232558139537</v>
      </c>
      <c r="F13">
        <v>-0.42641079850382368</v>
      </c>
      <c r="G13">
        <v>43</v>
      </c>
      <c r="H13" s="3" t="s">
        <v>36</v>
      </c>
      <c r="I13" t="s">
        <v>61</v>
      </c>
      <c r="J13" cm="1">
        <f t="array" ref="J13:N13">TRANSPOSE(_xlfn._xlws.FILTER(F:F, C:C=I13))</f>
        <v>-5.0377863412545594</v>
      </c>
      <c r="K13">
        <v>1.7278438030560319</v>
      </c>
      <c r="L13">
        <v>6.0579588014981312</v>
      </c>
      <c r="M13">
        <v>8.0614550679205905</v>
      </c>
      <c r="N13">
        <v>3.2154772205989417</v>
      </c>
    </row>
    <row r="14" spans="1:36">
      <c r="A14">
        <v>3</v>
      </c>
      <c r="B14">
        <v>5</v>
      </c>
      <c r="C14" t="s">
        <v>11</v>
      </c>
      <c r="D14">
        <v>74.695652173913047</v>
      </c>
      <c r="E14">
        <v>81.477272727272734</v>
      </c>
      <c r="F14">
        <v>6.7816205533596872</v>
      </c>
      <c r="G14">
        <v>44</v>
      </c>
      <c r="H14" s="3" t="s">
        <v>38</v>
      </c>
      <c r="I14" t="s">
        <v>62</v>
      </c>
      <c r="J14" cm="1">
        <f t="array" ref="J14:K14">TRANSPOSE(_xlfn._xlws.FILTER(F:F, C:C=I14))</f>
        <v>1.695830485304171</v>
      </c>
      <c r="K14">
        <v>2.626086956521732</v>
      </c>
    </row>
    <row r="15" spans="1:36">
      <c r="A15">
        <v>3</v>
      </c>
      <c r="B15">
        <v>6</v>
      </c>
      <c r="C15" t="s">
        <v>12</v>
      </c>
      <c r="D15">
        <v>82.544776119402982</v>
      </c>
      <c r="E15">
        <v>81.75</v>
      </c>
      <c r="F15">
        <v>-0.79477611940298232</v>
      </c>
      <c r="G15">
        <v>44</v>
      </c>
      <c r="H15" s="3" t="s">
        <v>37</v>
      </c>
      <c r="I15" t="s">
        <v>63</v>
      </c>
      <c r="J15" cm="1">
        <f t="array" ref="J15:M15">TRANSPOSE(_xlfn._xlws.FILTER(F:F, C:C=I15))</f>
        <v>1.0913006029285131</v>
      </c>
      <c r="K15">
        <v>-3.3731515267908492</v>
      </c>
      <c r="L15">
        <v>1.717265757243851</v>
      </c>
      <c r="M15">
        <v>-2.8719211822660209</v>
      </c>
    </row>
    <row r="16" spans="1:36">
      <c r="A16">
        <v>3</v>
      </c>
      <c r="B16">
        <v>7</v>
      </c>
      <c r="C16" t="s">
        <v>13</v>
      </c>
      <c r="D16">
        <v>91.320895522388057</v>
      </c>
      <c r="E16">
        <v>91.837209302325576</v>
      </c>
      <c r="F16">
        <v>0.51631377993751926</v>
      </c>
      <c r="G16">
        <v>43</v>
      </c>
      <c r="H16" s="3" t="s">
        <v>37</v>
      </c>
      <c r="I16" t="s">
        <v>29</v>
      </c>
      <c r="J16" cm="1">
        <f t="array" ref="J16:AJ16">TRANSPOSE(_xlfn._xlws.FILTER(F:F, H:H=I16))</f>
        <v>-2.1722316730624698</v>
      </c>
      <c r="K16">
        <v>-0.65686705552461433</v>
      </c>
      <c r="L16">
        <v>1.428700446810524</v>
      </c>
      <c r="M16">
        <v>-0.79477611940298232</v>
      </c>
      <c r="N16">
        <v>0.51631377993751926</v>
      </c>
      <c r="O16">
        <v>-5.3289451041128899</v>
      </c>
      <c r="P16">
        <v>4.2103418054338277</v>
      </c>
      <c r="Q16">
        <v>-24.886152665899498</v>
      </c>
      <c r="R16">
        <v>5.491338582677173</v>
      </c>
      <c r="S16">
        <v>8.2089607595875691</v>
      </c>
      <c r="T16">
        <v>5.5790960451977298</v>
      </c>
      <c r="U16">
        <v>8.6863781074307553</v>
      </c>
      <c r="V16">
        <v>-1.076559002238568</v>
      </c>
      <c r="W16">
        <v>-8.9780300607611139</v>
      </c>
      <c r="X16">
        <v>-3.1085865436787832</v>
      </c>
      <c r="Y16">
        <v>-3.2908163265306172</v>
      </c>
      <c r="Z16">
        <v>-2.591946597760554</v>
      </c>
      <c r="AA16">
        <v>-11.40178571428571</v>
      </c>
      <c r="AB16">
        <v>1.7278438030560319</v>
      </c>
      <c r="AC16">
        <v>2.626086956521732</v>
      </c>
      <c r="AD16">
        <v>-0.16178632688067299</v>
      </c>
      <c r="AE16">
        <v>-22.187269062814909</v>
      </c>
      <c r="AF16">
        <v>4.8439606741573016</v>
      </c>
      <c r="AG16">
        <v>-0.48351990049751242</v>
      </c>
      <c r="AH16">
        <v>-2.8719211822660209</v>
      </c>
      <c r="AI16">
        <v>-6.5751294200228054</v>
      </c>
      <c r="AJ16">
        <v>1.8351548269581031</v>
      </c>
    </row>
    <row r="17" spans="1:24">
      <c r="A17">
        <v>3</v>
      </c>
      <c r="B17">
        <v>8</v>
      </c>
      <c r="C17" t="s">
        <v>14</v>
      </c>
      <c r="D17">
        <v>77.592857142857142</v>
      </c>
      <c r="E17">
        <v>73.931818181818187</v>
      </c>
      <c r="F17">
        <v>-3.6610389610389551</v>
      </c>
      <c r="G17">
        <v>44</v>
      </c>
      <c r="H17" s="3" t="s">
        <v>41</v>
      </c>
      <c r="I17" t="s">
        <v>35</v>
      </c>
      <c r="J17" cm="1">
        <f t="array" ref="J17:S17">TRANSPOSE(_xlfn._xlws.FILTER(F:F, H:H=I17))</f>
        <v>3.6561765006646989</v>
      </c>
      <c r="K17">
        <v>-3.9316017316017309</v>
      </c>
      <c r="L17">
        <v>-3.684659090909093</v>
      </c>
      <c r="M17">
        <v>-2.5597418454561311</v>
      </c>
      <c r="N17">
        <v>4.9999999999997158E-2</v>
      </c>
      <c r="O17">
        <v>-3.3731515267908492</v>
      </c>
      <c r="P17">
        <v>1.717265757243851</v>
      </c>
      <c r="Q17">
        <v>1.8285123966942081</v>
      </c>
      <c r="R17">
        <v>3.9064874342489868</v>
      </c>
      <c r="S17">
        <v>5.1430836605255195</v>
      </c>
    </row>
    <row r="18" spans="1:24">
      <c r="A18">
        <v>6</v>
      </c>
      <c r="B18">
        <v>1</v>
      </c>
      <c r="C18" t="s">
        <v>10</v>
      </c>
      <c r="D18">
        <v>99.151515151515156</v>
      </c>
      <c r="E18">
        <v>92.256410256410263</v>
      </c>
      <c r="F18">
        <v>-6.8951048951048932</v>
      </c>
      <c r="G18">
        <v>78</v>
      </c>
      <c r="H18" t="s">
        <v>31</v>
      </c>
      <c r="I18" t="s">
        <v>34</v>
      </c>
      <c r="J18" cm="1">
        <f t="array" ref="J18:P18">TRANSPOSE(_xlfn._xlws.FILTER(F:F, H:H=I18))</f>
        <v>11.250074537865229</v>
      </c>
      <c r="K18">
        <v>6.7816205533596872</v>
      </c>
      <c r="L18">
        <v>1.5427078229625979</v>
      </c>
      <c r="M18">
        <v>-5.0377863412545594</v>
      </c>
      <c r="N18">
        <v>3.041034504833235</v>
      </c>
      <c r="O18">
        <v>2.5466286799620121</v>
      </c>
      <c r="P18">
        <v>4.129388753056233</v>
      </c>
    </row>
    <row r="19" spans="1:24">
      <c r="A19">
        <v>6</v>
      </c>
      <c r="B19">
        <v>3</v>
      </c>
      <c r="C19" t="s">
        <v>17</v>
      </c>
      <c r="D19">
        <v>73.560283687943269</v>
      </c>
      <c r="E19">
        <v>76.422535211267601</v>
      </c>
      <c r="F19">
        <v>2.862251523324332</v>
      </c>
      <c r="G19">
        <v>71</v>
      </c>
      <c r="H19" t="s">
        <v>30</v>
      </c>
      <c r="I19" t="s">
        <v>50</v>
      </c>
      <c r="J19" cm="1">
        <f t="array" ref="J19:P19">TRANSPOSE(_xlfn._xlws.FILTER(F:F, H:H=I19))</f>
        <v>4.1184492551709297</v>
      </c>
      <c r="K19">
        <v>-3.6610389610389551</v>
      </c>
      <c r="L19">
        <v>-15.96666666666667</v>
      </c>
      <c r="M19">
        <v>1.0913006029285131</v>
      </c>
      <c r="N19">
        <v>2.37344636004353</v>
      </c>
      <c r="O19">
        <v>-4.4777382675507482</v>
      </c>
      <c r="P19">
        <v>-7.6443191043519931</v>
      </c>
    </row>
    <row r="20" spans="1:24">
      <c r="A20">
        <v>6</v>
      </c>
      <c r="B20">
        <v>4</v>
      </c>
      <c r="C20" t="s">
        <v>18</v>
      </c>
      <c r="D20">
        <v>80.187919463087255</v>
      </c>
      <c r="E20">
        <v>74.858974358974365</v>
      </c>
      <c r="F20">
        <v>-5.3289451041128899</v>
      </c>
      <c r="G20">
        <v>78</v>
      </c>
      <c r="H20" t="s">
        <v>29</v>
      </c>
      <c r="I20" t="s">
        <v>30</v>
      </c>
      <c r="J20" cm="1">
        <f t="array" ref="J20:X20">TRANSPOSE(_xlfn._xlws.FILTER(F:F, H:H=I20))</f>
        <v>10.69976076555024</v>
      </c>
      <c r="K20">
        <v>5.8185728917719359</v>
      </c>
      <c r="L20">
        <v>-0.82173601147775344</v>
      </c>
      <c r="M20">
        <v>-0.42641079850382368</v>
      </c>
      <c r="N20">
        <v>2.862251523324332</v>
      </c>
      <c r="O20">
        <v>-5.0914918414918446</v>
      </c>
      <c r="P20">
        <v>-2.906048906048397E-2</v>
      </c>
      <c r="Q20">
        <v>2.6884100174723362</v>
      </c>
      <c r="R20">
        <v>4.8680154142581813</v>
      </c>
      <c r="S20">
        <v>-2.8380421806605649</v>
      </c>
      <c r="T20">
        <v>4.748871955774689</v>
      </c>
      <c r="U20">
        <v>6.0579588014981312</v>
      </c>
      <c r="V20">
        <v>0.1602434077079096</v>
      </c>
      <c r="W20">
        <v>8.0614550679205905</v>
      </c>
      <c r="X20">
        <v>7.6684947635867928</v>
      </c>
    </row>
    <row r="21" spans="1:24">
      <c r="A21">
        <v>6</v>
      </c>
      <c r="B21">
        <v>5</v>
      </c>
      <c r="C21" t="s">
        <v>12</v>
      </c>
      <c r="D21">
        <v>103.3</v>
      </c>
      <c r="E21">
        <v>87.333333333333329</v>
      </c>
      <c r="F21">
        <v>-15.96666666666667</v>
      </c>
      <c r="G21">
        <v>3</v>
      </c>
      <c r="H21" t="s">
        <v>42</v>
      </c>
      <c r="I21" t="s">
        <v>31</v>
      </c>
      <c r="J21" cm="1">
        <f t="array" ref="J21:N21">TRANSPOSE(_xlfn._xlws.FILTER(F:F, H:H=I21))</f>
        <v>-6.8951048951048932</v>
      </c>
      <c r="K21">
        <v>1.695830485304171</v>
      </c>
      <c r="L21">
        <v>1.594651952461803</v>
      </c>
      <c r="M21">
        <v>13.82670454545455</v>
      </c>
      <c r="N21">
        <v>3.2154772205989417</v>
      </c>
    </row>
    <row r="22" spans="1:24">
      <c r="A22">
        <v>6</v>
      </c>
      <c r="B22">
        <v>6</v>
      </c>
      <c r="C22" t="s">
        <v>19</v>
      </c>
      <c r="D22">
        <v>87.932515337423311</v>
      </c>
      <c r="E22">
        <v>92.142857142857139</v>
      </c>
      <c r="F22">
        <v>4.2103418054338277</v>
      </c>
      <c r="G22">
        <v>77</v>
      </c>
      <c r="H22" t="s">
        <v>32</v>
      </c>
      <c r="I22" t="s">
        <v>64</v>
      </c>
      <c r="J22" cm="1">
        <f t="array" ref="J22">AVERAGE(_xlfn._xlws.FILTER(F:F, H:H=I22))</f>
        <v>-1.9041535914063501</v>
      </c>
    </row>
    <row r="23" spans="1:24">
      <c r="A23">
        <v>6</v>
      </c>
      <c r="B23">
        <v>7</v>
      </c>
      <c r="C23" t="s">
        <v>20</v>
      </c>
      <c r="D23">
        <v>79.662420382165607</v>
      </c>
      <c r="E23">
        <v>81.205128205128204</v>
      </c>
      <c r="F23">
        <v>1.5427078229625979</v>
      </c>
      <c r="G23">
        <v>78</v>
      </c>
      <c r="H23" t="s">
        <v>34</v>
      </c>
      <c r="I23" t="s">
        <v>35</v>
      </c>
      <c r="J23" cm="1">
        <f t="array" ref="J23">AVERAGE(_xlfn._xlws.FILTER(F:F, H:H=I23))</f>
        <v>0.27523715546194577</v>
      </c>
    </row>
    <row r="24" spans="1:24">
      <c r="A24">
        <v>6</v>
      </c>
      <c r="B24">
        <v>8</v>
      </c>
      <c r="C24" t="s">
        <v>7</v>
      </c>
      <c r="D24">
        <v>91.569696969696963</v>
      </c>
      <c r="E24">
        <v>66.683544303797461</v>
      </c>
      <c r="F24">
        <v>-24.886152665899498</v>
      </c>
      <c r="G24">
        <v>79</v>
      </c>
      <c r="H24" t="s">
        <v>29</v>
      </c>
      <c r="I24" t="s">
        <v>47</v>
      </c>
      <c r="J24" cm="1">
        <f t="array" ref="J24">AVERAGE(_xlfn._xlws.FILTER(F:F, H:H=I24))</f>
        <v>-3.4523666830664843</v>
      </c>
    </row>
    <row r="25" spans="1:24">
      <c r="A25">
        <v>6</v>
      </c>
      <c r="B25">
        <v>9</v>
      </c>
      <c r="C25" t="s">
        <v>14</v>
      </c>
      <c r="D25">
        <v>81.321212121212127</v>
      </c>
      <c r="E25">
        <v>77.389610389610397</v>
      </c>
      <c r="F25">
        <v>-3.9316017316017309</v>
      </c>
      <c r="G25">
        <v>77</v>
      </c>
      <c r="H25" t="s">
        <v>35</v>
      </c>
      <c r="I25" t="s">
        <v>38</v>
      </c>
      <c r="J25" cm="1">
        <f t="array" ref="J25">AVERAGE(_xlfn._xlws.FILTER(F:F, H:H=I25))</f>
        <v>3.4648097872549193</v>
      </c>
    </row>
    <row r="26" spans="1:24">
      <c r="A26">
        <v>6</v>
      </c>
      <c r="B26">
        <v>10</v>
      </c>
      <c r="C26" t="s">
        <v>11</v>
      </c>
      <c r="D26">
        <v>85.042857142857144</v>
      </c>
      <c r="E26">
        <v>88.361111111111114</v>
      </c>
      <c r="F26">
        <v>3.3182539682539698</v>
      </c>
      <c r="G26">
        <v>36</v>
      </c>
      <c r="H26" t="s">
        <v>43</v>
      </c>
      <c r="I26" t="s">
        <v>31</v>
      </c>
      <c r="J26" cm="1">
        <f t="array" ref="J26">AVERAGE(_xlfn._xlws.FILTER(F:F, H:H=I26))</f>
        <v>2.6875118617429146</v>
      </c>
    </row>
    <row r="27" spans="1:24">
      <c r="A27">
        <v>8</v>
      </c>
      <c r="B27">
        <v>1</v>
      </c>
      <c r="C27" t="s">
        <v>10</v>
      </c>
      <c r="D27">
        <v>92.8</v>
      </c>
      <c r="E27">
        <v>98.29133858267717</v>
      </c>
      <c r="F27">
        <v>5.491338582677173</v>
      </c>
      <c r="G27">
        <v>254</v>
      </c>
      <c r="H27" s="2" t="s">
        <v>37</v>
      </c>
      <c r="I27" t="s">
        <v>30</v>
      </c>
      <c r="J27" cm="1">
        <f t="array" ref="J27">AVERAGE(_xlfn._xlws.FILTER(F:F, H:H=I27))</f>
        <v>2.9618195525113777</v>
      </c>
    </row>
    <row r="28" spans="1:24">
      <c r="A28">
        <v>8</v>
      </c>
      <c r="B28">
        <v>2</v>
      </c>
      <c r="C28" t="s">
        <v>16</v>
      </c>
      <c r="D28">
        <v>94.916666666666671</v>
      </c>
      <c r="E28">
        <v>89.825174825174827</v>
      </c>
      <c r="F28">
        <v>-5.0914918414918446</v>
      </c>
      <c r="G28">
        <v>143</v>
      </c>
      <c r="H28" s="2" t="s">
        <v>36</v>
      </c>
      <c r="I28" t="s">
        <v>48</v>
      </c>
      <c r="J28" cm="1">
        <f t="array" ref="J28">AVERAGE(_xlfn._xlws.FILTER(F:F, H:H=I28))</f>
        <v>-0.84583719835384841</v>
      </c>
    </row>
    <row r="29" spans="1:24">
      <c r="I29" t="s">
        <v>51</v>
      </c>
      <c r="J29" cm="1">
        <f t="array" ref="J29">AVERAGE(_xlfn._xlws.FILTER(D:D, C:C=I29))</f>
        <v>88.183084765955783</v>
      </c>
    </row>
    <row r="30" spans="1:24">
      <c r="A30">
        <v>8</v>
      </c>
      <c r="B30">
        <v>4</v>
      </c>
      <c r="C30" t="s">
        <v>12</v>
      </c>
      <c r="D30">
        <v>88.442622950819668</v>
      </c>
      <c r="E30">
        <v>96.651583710407238</v>
      </c>
      <c r="F30">
        <v>8.2089607595875691</v>
      </c>
      <c r="G30">
        <v>221</v>
      </c>
      <c r="H30" s="2" t="s">
        <v>37</v>
      </c>
      <c r="I30" t="s">
        <v>52</v>
      </c>
      <c r="J30" cm="1">
        <f t="array" ref="J30">AVERAGE(_xlfn._xlws.FILTER(D:D, C:C=I30))</f>
        <v>83.800199502789397</v>
      </c>
    </row>
    <row r="31" spans="1:24">
      <c r="I31" t="s">
        <v>53</v>
      </c>
      <c r="J31" cm="1">
        <f t="array" ref="J31">AVERAGE(_xlfn._xlws.FILTER(D:D, C:C=I31))</f>
        <v>71.840238267550731</v>
      </c>
    </row>
    <row r="32" spans="1:24">
      <c r="A32">
        <v>8</v>
      </c>
      <c r="B32">
        <v>6</v>
      </c>
      <c r="C32" t="s">
        <v>20</v>
      </c>
      <c r="D32">
        <v>81.254237288135599</v>
      </c>
      <c r="E32">
        <v>86.833333333333329</v>
      </c>
      <c r="F32">
        <v>5.5790960451977298</v>
      </c>
      <c r="G32">
        <v>42</v>
      </c>
      <c r="H32" s="2" t="s">
        <v>37</v>
      </c>
      <c r="I32" t="s">
        <v>54</v>
      </c>
      <c r="J32" cm="1">
        <f t="array" ref="J32">AVERAGE(_xlfn._xlws.FILTER(D:D, C:C=I32))</f>
        <v>80.187919463087255</v>
      </c>
    </row>
    <row r="33" spans="1:10">
      <c r="A33">
        <v>8</v>
      </c>
      <c r="B33">
        <v>7</v>
      </c>
      <c r="C33" t="s">
        <v>11</v>
      </c>
      <c r="D33">
        <v>96</v>
      </c>
      <c r="E33">
        <v>92.315340909090907</v>
      </c>
      <c r="F33">
        <v>-3.684659090909093</v>
      </c>
      <c r="G33">
        <v>352</v>
      </c>
      <c r="H33" s="2" t="s">
        <v>39</v>
      </c>
      <c r="I33" t="s">
        <v>55</v>
      </c>
      <c r="J33" cm="1">
        <f t="array" ref="J33">AVERAGE(_xlfn._xlws.FILTER(D:D, C:C=I33))</f>
        <v>89.829275510129918</v>
      </c>
    </row>
    <row r="34" spans="1:10">
      <c r="A34">
        <v>9</v>
      </c>
      <c r="B34">
        <v>1</v>
      </c>
      <c r="C34" t="s">
        <v>14</v>
      </c>
      <c r="D34">
        <v>72.822393822393821</v>
      </c>
      <c r="E34">
        <v>72.793333333333337</v>
      </c>
      <c r="F34">
        <v>-2.906048906048397E-2</v>
      </c>
      <c r="G34">
        <v>150</v>
      </c>
      <c r="H34" t="s">
        <v>30</v>
      </c>
      <c r="I34" t="s">
        <v>56</v>
      </c>
      <c r="J34" cm="1">
        <f t="array" ref="J34">AVERAGE(_xlfn._xlws.FILTER(D:D, C:C=I34))</f>
        <v>87.932515337423311</v>
      </c>
    </row>
    <row r="35" spans="1:10">
      <c r="A35">
        <v>9</v>
      </c>
      <c r="B35">
        <v>2</v>
      </c>
      <c r="C35" t="s">
        <v>7</v>
      </c>
      <c r="D35">
        <v>74.517006802721085</v>
      </c>
      <c r="E35">
        <v>71.957264957264954</v>
      </c>
      <c r="F35">
        <v>-2.5597418454561311</v>
      </c>
      <c r="G35">
        <v>117</v>
      </c>
      <c r="H35" t="s">
        <v>44</v>
      </c>
      <c r="I35" t="s">
        <v>45</v>
      </c>
      <c r="J35" cm="1">
        <f t="array" ref="J35">AVERAGE(_xlfn._xlws.FILTER(D:D, C:C=I35))</f>
        <v>79.853598806715581</v>
      </c>
    </row>
    <row r="36" spans="1:10">
      <c r="A36">
        <v>9</v>
      </c>
      <c r="B36">
        <v>3</v>
      </c>
      <c r="C36" t="s">
        <v>21</v>
      </c>
      <c r="D36">
        <v>72.822393822393806</v>
      </c>
      <c r="E36">
        <v>81.508771929824562</v>
      </c>
      <c r="F36" s="2">
        <f t="shared" ref="F36" si="0">E36-D36</f>
        <v>8.6863781074307553</v>
      </c>
      <c r="G36">
        <v>57</v>
      </c>
      <c r="H36" t="s">
        <v>29</v>
      </c>
      <c r="I36" t="s">
        <v>57</v>
      </c>
      <c r="J36" cm="1">
        <f t="array" ref="J36">AVERAGE(_xlfn._xlws.FILTER(D:D, C:C=I36))</f>
        <v>78.131498591531468</v>
      </c>
    </row>
    <row r="37" spans="1:10">
      <c r="A37">
        <v>9</v>
      </c>
      <c r="B37">
        <v>4</v>
      </c>
      <c r="C37" t="s">
        <v>10</v>
      </c>
      <c r="D37">
        <v>82.652830188679246</v>
      </c>
      <c r="E37">
        <v>81.576271186440678</v>
      </c>
      <c r="F37">
        <v>-1.076559002238568</v>
      </c>
      <c r="G37">
        <v>118</v>
      </c>
      <c r="H37" t="s">
        <v>29</v>
      </c>
      <c r="I37" t="s">
        <v>58</v>
      </c>
      <c r="J37" cm="1">
        <f t="array" ref="J37">AVERAGE(_xlfn._xlws.FILTER(D:D, C:C=I37))</f>
        <v>74.327526624328954</v>
      </c>
    </row>
    <row r="38" spans="1:10">
      <c r="A38">
        <v>9</v>
      </c>
      <c r="B38">
        <v>5</v>
      </c>
      <c r="C38" t="s">
        <v>11</v>
      </c>
      <c r="D38">
        <v>77.833962264150941</v>
      </c>
      <c r="E38">
        <v>68.855932203389827</v>
      </c>
      <c r="F38">
        <v>-8.9780300607611139</v>
      </c>
      <c r="G38">
        <v>118</v>
      </c>
      <c r="H38" t="s">
        <v>29</v>
      </c>
      <c r="I38" t="s">
        <v>59</v>
      </c>
      <c r="J38" cm="1">
        <f t="array" ref="J38">AVERAGE(_xlfn._xlws.FILTER(D:D, C:C=I38))</f>
        <v>82.450350638432113</v>
      </c>
    </row>
    <row r="39" spans="1:10">
      <c r="A39">
        <v>10</v>
      </c>
      <c r="B39">
        <v>1</v>
      </c>
      <c r="C39" t="s">
        <v>22</v>
      </c>
      <c r="D39">
        <v>83.529411764705884</v>
      </c>
      <c r="E39">
        <v>86.21782178217822</v>
      </c>
      <c r="F39">
        <v>2.6884100174723362</v>
      </c>
      <c r="G39">
        <v>101</v>
      </c>
      <c r="H39" s="2" t="s">
        <v>36</v>
      </c>
      <c r="I39" t="s">
        <v>60</v>
      </c>
      <c r="J39" cm="1">
        <f t="array" ref="J39">AVERAGE(_xlfn._xlws.FILTER(D:D, C:C=I39))</f>
        <v>91.702205882352942</v>
      </c>
    </row>
    <row r="40" spans="1:10">
      <c r="A40">
        <v>10</v>
      </c>
      <c r="B40">
        <v>2</v>
      </c>
      <c r="C40" t="s">
        <v>10</v>
      </c>
      <c r="D40">
        <v>86.953947368421055</v>
      </c>
      <c r="E40">
        <v>83.845360824742272</v>
      </c>
      <c r="F40">
        <v>-3.1085865436787832</v>
      </c>
      <c r="G40">
        <v>97</v>
      </c>
      <c r="H40" s="2" t="s">
        <v>37</v>
      </c>
      <c r="I40" t="s">
        <v>61</v>
      </c>
      <c r="J40" cm="1">
        <f t="array" ref="J40">AVERAGE(_xlfn._xlws.FILTER(D:D, C:C=I40))</f>
        <v>73.800565560149721</v>
      </c>
    </row>
    <row r="41" spans="1:10">
      <c r="A41">
        <v>10</v>
      </c>
      <c r="B41">
        <v>3</v>
      </c>
      <c r="C41" t="s">
        <v>17</v>
      </c>
      <c r="D41">
        <v>65.965317919075147</v>
      </c>
      <c r="E41">
        <v>70.833333333333329</v>
      </c>
      <c r="F41">
        <v>4.8680154142581813</v>
      </c>
      <c r="G41">
        <v>108</v>
      </c>
      <c r="H41" s="2" t="s">
        <v>36</v>
      </c>
      <c r="I41" t="s">
        <v>62</v>
      </c>
      <c r="J41" cm="1">
        <f t="array" ref="J41">AVERAGE(_xlfn._xlws.FILTER(D:D, C:C=I41))</f>
        <v>87.258949745906278</v>
      </c>
    </row>
    <row r="42" spans="1:10">
      <c r="A42">
        <v>10</v>
      </c>
      <c r="B42">
        <v>4</v>
      </c>
      <c r="C42" t="s">
        <v>8</v>
      </c>
      <c r="D42">
        <v>83.352601156069369</v>
      </c>
      <c r="E42">
        <v>78.31481481481481</v>
      </c>
      <c r="F42">
        <v>-5.0377863412545594</v>
      </c>
      <c r="G42">
        <v>108</v>
      </c>
      <c r="H42" s="2" t="s">
        <v>38</v>
      </c>
      <c r="I42" t="s">
        <v>63</v>
      </c>
      <c r="J42" cm="1">
        <f t="array" ref="J42">AVERAGE(_xlfn._xlws.FILTER(D:D, C:C=I42))</f>
        <v>97.045837452737203</v>
      </c>
    </row>
    <row r="43" spans="1:10">
      <c r="A43">
        <v>10</v>
      </c>
      <c r="B43">
        <v>5</v>
      </c>
      <c r="C43" t="s">
        <v>11</v>
      </c>
      <c r="D43">
        <v>86.75</v>
      </c>
      <c r="E43">
        <v>83.459183673469383</v>
      </c>
      <c r="F43">
        <v>-3.2908163265306172</v>
      </c>
      <c r="G43">
        <v>98</v>
      </c>
      <c r="H43" s="2" t="s">
        <v>37</v>
      </c>
    </row>
    <row r="44" spans="1:10">
      <c r="A44">
        <v>10</v>
      </c>
      <c r="B44">
        <v>6</v>
      </c>
      <c r="C44" t="s">
        <v>7</v>
      </c>
      <c r="D44">
        <v>65</v>
      </c>
      <c r="E44">
        <v>65.05</v>
      </c>
      <c r="F44">
        <v>4.9999999999997158E-2</v>
      </c>
      <c r="G44">
        <v>80</v>
      </c>
      <c r="H44" s="2" t="s">
        <v>39</v>
      </c>
    </row>
    <row r="45" spans="1:10">
      <c r="A45">
        <v>10</v>
      </c>
      <c r="B45">
        <v>7</v>
      </c>
      <c r="C45" t="s">
        <v>23</v>
      </c>
      <c r="D45">
        <v>80.883116883116884</v>
      </c>
      <c r="E45">
        <v>82.578947368421055</v>
      </c>
      <c r="F45">
        <v>1.695830485304171</v>
      </c>
      <c r="G45">
        <v>95</v>
      </c>
      <c r="H45" s="2" t="s">
        <v>40</v>
      </c>
    </row>
    <row r="46" spans="1:10">
      <c r="A46">
        <v>10</v>
      </c>
      <c r="B46">
        <v>8</v>
      </c>
      <c r="C46" t="s">
        <v>16</v>
      </c>
      <c r="D46">
        <v>79.860465116279073</v>
      </c>
      <c r="E46">
        <v>77.268518518518519</v>
      </c>
      <c r="F46">
        <v>-2.591946597760554</v>
      </c>
      <c r="G46">
        <v>108</v>
      </c>
      <c r="H46" s="2" t="s">
        <v>37</v>
      </c>
    </row>
    <row r="47" spans="1:10">
      <c r="A47">
        <v>10</v>
      </c>
      <c r="B47">
        <v>9</v>
      </c>
      <c r="C47" t="s">
        <v>24</v>
      </c>
      <c r="D47">
        <v>83.279069767441854</v>
      </c>
      <c r="E47">
        <v>84.370370370370367</v>
      </c>
      <c r="F47">
        <v>1.0913006029285131</v>
      </c>
      <c r="G47">
        <v>108</v>
      </c>
      <c r="H47" s="2" t="s">
        <v>41</v>
      </c>
    </row>
    <row r="48" spans="1:10">
      <c r="A48">
        <v>12</v>
      </c>
      <c r="B48">
        <v>1</v>
      </c>
      <c r="C48" t="s">
        <v>22</v>
      </c>
      <c r="D48">
        <v>99.875</v>
      </c>
      <c r="E48">
        <v>88.473214285714292</v>
      </c>
      <c r="F48">
        <v>-11.40178571428571</v>
      </c>
      <c r="G48">
        <v>112</v>
      </c>
      <c r="H48" t="s">
        <v>29</v>
      </c>
    </row>
    <row r="49" spans="1:8">
      <c r="A49">
        <v>12</v>
      </c>
      <c r="B49">
        <v>2</v>
      </c>
      <c r="C49" t="s">
        <v>10</v>
      </c>
      <c r="D49">
        <v>83.409470752089135</v>
      </c>
      <c r="E49">
        <v>80.571428571428569</v>
      </c>
      <c r="F49">
        <v>-2.8380421806605649</v>
      </c>
      <c r="G49">
        <v>119</v>
      </c>
      <c r="H49" t="s">
        <v>30</v>
      </c>
    </row>
    <row r="50" spans="1:8">
      <c r="A50">
        <v>12</v>
      </c>
      <c r="B50">
        <v>3</v>
      </c>
      <c r="C50" t="s">
        <v>17</v>
      </c>
      <c r="D50">
        <v>71.526315789473685</v>
      </c>
      <c r="E50">
        <v>73.120967741935488</v>
      </c>
      <c r="F50">
        <v>1.594651952461803</v>
      </c>
      <c r="G50">
        <v>124</v>
      </c>
      <c r="H50" t="s">
        <v>31</v>
      </c>
    </row>
    <row r="51" spans="1:8">
      <c r="A51">
        <v>12</v>
      </c>
      <c r="B51">
        <v>4</v>
      </c>
      <c r="C51" t="s">
        <v>8</v>
      </c>
      <c r="D51">
        <v>70.094736842105263</v>
      </c>
      <c r="E51">
        <v>71.822580645161295</v>
      </c>
      <c r="F51">
        <v>1.7278438030560319</v>
      </c>
      <c r="G51">
        <v>124</v>
      </c>
      <c r="H51" t="s">
        <v>32</v>
      </c>
    </row>
    <row r="52" spans="1:8">
      <c r="A52">
        <v>12</v>
      </c>
      <c r="B52">
        <v>5</v>
      </c>
      <c r="C52" t="s">
        <v>11</v>
      </c>
      <c r="D52">
        <v>92.498550724637681</v>
      </c>
      <c r="E52">
        <v>97.24742268041237</v>
      </c>
      <c r="F52">
        <v>4.748871955774689</v>
      </c>
      <c r="G52">
        <v>97</v>
      </c>
      <c r="H52" t="s">
        <v>33</v>
      </c>
    </row>
    <row r="54" spans="1:8">
      <c r="A54">
        <v>12</v>
      </c>
      <c r="B54">
        <v>7</v>
      </c>
      <c r="C54" t="s">
        <v>23</v>
      </c>
      <c r="D54">
        <v>93.634782608695659</v>
      </c>
      <c r="E54">
        <v>96.260869565217391</v>
      </c>
      <c r="F54">
        <v>2.626086956521732</v>
      </c>
      <c r="G54">
        <v>115</v>
      </c>
      <c r="H54" t="s">
        <v>29</v>
      </c>
    </row>
    <row r="55" spans="1:8">
      <c r="A55">
        <v>12</v>
      </c>
      <c r="B55">
        <v>8</v>
      </c>
      <c r="C55" t="s">
        <v>16</v>
      </c>
      <c r="D55">
        <v>81.845144356955387</v>
      </c>
      <c r="E55">
        <v>84.886178861788622</v>
      </c>
      <c r="F55">
        <v>3.041034504833235</v>
      </c>
      <c r="G55">
        <v>123</v>
      </c>
      <c r="H55" t="s">
        <v>34</v>
      </c>
    </row>
    <row r="56" spans="1:8">
      <c r="A56">
        <v>12</v>
      </c>
      <c r="B56">
        <v>9</v>
      </c>
      <c r="C56" t="s">
        <v>24</v>
      </c>
      <c r="D56">
        <v>85.275590551181097</v>
      </c>
      <c r="E56">
        <v>81.902439024390247</v>
      </c>
      <c r="F56">
        <v>-3.3731515267908492</v>
      </c>
      <c r="G56">
        <v>123</v>
      </c>
      <c r="H56" t="s">
        <v>35</v>
      </c>
    </row>
    <row r="57" spans="1:8">
      <c r="A57">
        <v>15</v>
      </c>
      <c r="B57">
        <v>1</v>
      </c>
      <c r="C57" t="s">
        <v>25</v>
      </c>
      <c r="D57">
        <v>78.954545454545453</v>
      </c>
      <c r="E57">
        <v>92.78125</v>
      </c>
      <c r="F57">
        <v>13.82670454545455</v>
      </c>
      <c r="G57">
        <v>32</v>
      </c>
      <c r="H57" s="2" t="s">
        <v>46</v>
      </c>
    </row>
    <row r="58" spans="1:8">
      <c r="A58">
        <v>15</v>
      </c>
      <c r="B58">
        <v>2</v>
      </c>
      <c r="C58" t="s">
        <v>20</v>
      </c>
      <c r="D58">
        <v>76.968325791855207</v>
      </c>
      <c r="E58">
        <v>79.341772151898738</v>
      </c>
      <c r="F58">
        <v>2.37344636004353</v>
      </c>
      <c r="G58">
        <v>79</v>
      </c>
      <c r="H58" s="2" t="s">
        <v>47</v>
      </c>
    </row>
    <row r="59" spans="1:8">
      <c r="A59">
        <v>15</v>
      </c>
      <c r="B59">
        <v>3</v>
      </c>
      <c r="C59" t="s">
        <v>26</v>
      </c>
      <c r="D59">
        <v>84.966981132075475</v>
      </c>
      <c r="E59">
        <v>84.805194805194802</v>
      </c>
      <c r="F59">
        <v>-0.16178632688067299</v>
      </c>
      <c r="G59">
        <v>77</v>
      </c>
      <c r="H59" s="2" t="s">
        <v>29</v>
      </c>
    </row>
    <row r="60" spans="1:8">
      <c r="A60">
        <v>15</v>
      </c>
      <c r="B60">
        <v>4</v>
      </c>
      <c r="C60" t="s">
        <v>27</v>
      </c>
      <c r="D60">
        <v>96.764192139737986</v>
      </c>
      <c r="E60">
        <v>74.57692307692308</v>
      </c>
      <c r="F60">
        <v>-22.187269062814909</v>
      </c>
      <c r="G60">
        <v>78</v>
      </c>
      <c r="H60" s="2" t="s">
        <v>29</v>
      </c>
    </row>
    <row r="61" spans="1:8">
      <c r="A61">
        <v>15</v>
      </c>
      <c r="B61">
        <v>5</v>
      </c>
      <c r="C61" t="s">
        <v>8</v>
      </c>
      <c r="D61">
        <v>70.908333333333331</v>
      </c>
      <c r="E61">
        <v>76.966292134831463</v>
      </c>
      <c r="F61">
        <v>6.0579588014981312</v>
      </c>
      <c r="G61">
        <v>89</v>
      </c>
      <c r="H61" s="2" t="s">
        <v>33</v>
      </c>
    </row>
    <row r="62" spans="1:8">
      <c r="A62">
        <v>15</v>
      </c>
      <c r="B62">
        <v>6</v>
      </c>
      <c r="C62" t="s">
        <v>24</v>
      </c>
      <c r="D62">
        <v>108.3429752066116</v>
      </c>
      <c r="E62">
        <v>110.06024096385541</v>
      </c>
      <c r="F62">
        <v>1.717265757243851</v>
      </c>
      <c r="G62">
        <v>83</v>
      </c>
      <c r="H62" t="s">
        <v>35</v>
      </c>
    </row>
    <row r="63" spans="1:8">
      <c r="A63">
        <v>15</v>
      </c>
      <c r="B63">
        <v>7</v>
      </c>
      <c r="C63" t="s">
        <v>16</v>
      </c>
      <c r="D63">
        <v>78.987499999999997</v>
      </c>
      <c r="E63">
        <v>83.831460674157299</v>
      </c>
      <c r="F63">
        <v>4.8439606741573016</v>
      </c>
      <c r="G63">
        <v>89</v>
      </c>
      <c r="H63" s="2" t="s">
        <v>29</v>
      </c>
    </row>
    <row r="64" spans="1:8">
      <c r="A64">
        <v>15</v>
      </c>
      <c r="B64">
        <v>8</v>
      </c>
      <c r="C64" t="s">
        <v>28</v>
      </c>
      <c r="D64">
        <v>70.174311926605498</v>
      </c>
      <c r="E64">
        <v>65.164383561643831</v>
      </c>
      <c r="F64">
        <v>-5.0099283649616666</v>
      </c>
      <c r="G64">
        <v>73</v>
      </c>
      <c r="H64" s="2" t="s">
        <v>48</v>
      </c>
    </row>
    <row r="65" spans="1:8">
      <c r="A65">
        <v>15</v>
      </c>
      <c r="B65">
        <v>9</v>
      </c>
      <c r="C65" t="s">
        <v>11</v>
      </c>
      <c r="D65">
        <v>73.441025641025647</v>
      </c>
      <c r="E65">
        <v>75.987654320987659</v>
      </c>
      <c r="F65">
        <v>2.5466286799620121</v>
      </c>
      <c r="G65">
        <v>81</v>
      </c>
      <c r="H65" t="s">
        <v>49</v>
      </c>
    </row>
    <row r="66" spans="1:8">
      <c r="A66">
        <v>15</v>
      </c>
      <c r="B66">
        <v>10</v>
      </c>
      <c r="C66" t="s">
        <v>17</v>
      </c>
      <c r="D66">
        <v>70.239669421487605</v>
      </c>
      <c r="E66">
        <v>72.068181818181813</v>
      </c>
      <c r="F66">
        <v>1.8285123966942081</v>
      </c>
      <c r="G66">
        <v>88</v>
      </c>
      <c r="H66" t="s">
        <v>35</v>
      </c>
    </row>
    <row r="67" spans="1:8">
      <c r="A67">
        <v>16</v>
      </c>
      <c r="B67">
        <v>1</v>
      </c>
      <c r="C67" t="s">
        <v>25</v>
      </c>
      <c r="D67">
        <v>84.796019900497512</v>
      </c>
      <c r="E67">
        <v>84.3125</v>
      </c>
      <c r="F67">
        <v>-0.48351990049751242</v>
      </c>
      <c r="G67">
        <v>32</v>
      </c>
      <c r="H67" s="2" t="s">
        <v>32</v>
      </c>
    </row>
    <row r="68" spans="1:8">
      <c r="A68">
        <v>16</v>
      </c>
      <c r="B68">
        <v>2</v>
      </c>
      <c r="C68" t="s">
        <v>45</v>
      </c>
      <c r="D68">
        <v>81.529411764705884</v>
      </c>
      <c r="E68">
        <v>81.689655172413794</v>
      </c>
      <c r="F68">
        <v>0.1602434077079096</v>
      </c>
      <c r="G68">
        <v>29</v>
      </c>
      <c r="H68" s="2" t="s">
        <v>33</v>
      </c>
    </row>
    <row r="69" spans="1:8">
      <c r="A69">
        <v>16</v>
      </c>
      <c r="B69">
        <v>5</v>
      </c>
      <c r="C69" t="s">
        <v>8</v>
      </c>
      <c r="D69">
        <v>70.846590909090907</v>
      </c>
      <c r="E69">
        <v>78.908045977011497</v>
      </c>
      <c r="F69">
        <v>8.0614550679205905</v>
      </c>
      <c r="G69">
        <v>87</v>
      </c>
      <c r="H69" s="2" t="s">
        <v>33</v>
      </c>
    </row>
    <row r="70" spans="1:8">
      <c r="A70">
        <v>16</v>
      </c>
      <c r="B70">
        <v>6</v>
      </c>
      <c r="C70" t="s">
        <v>24</v>
      </c>
      <c r="D70">
        <v>111.28571428571431</v>
      </c>
      <c r="E70">
        <v>108.4137931034483</v>
      </c>
      <c r="F70">
        <v>-2.8719211822660209</v>
      </c>
      <c r="G70">
        <v>87</v>
      </c>
      <c r="H70" s="2" t="s">
        <v>29</v>
      </c>
    </row>
    <row r="71" spans="1:8">
      <c r="A71">
        <v>16</v>
      </c>
      <c r="B71">
        <v>7</v>
      </c>
      <c r="C71" t="s">
        <v>16</v>
      </c>
      <c r="D71">
        <v>83.391221374045799</v>
      </c>
      <c r="E71">
        <v>76.816091954022994</v>
      </c>
      <c r="F71">
        <v>-6.5751294200228054</v>
      </c>
      <c r="G71">
        <v>87</v>
      </c>
      <c r="H71" s="2" t="s">
        <v>29</v>
      </c>
    </row>
    <row r="72" spans="1:8">
      <c r="A72">
        <v>16</v>
      </c>
      <c r="B72">
        <v>8</v>
      </c>
      <c r="C72" t="s">
        <v>28</v>
      </c>
      <c r="D72">
        <v>66.750611246943762</v>
      </c>
      <c r="E72">
        <v>70.88</v>
      </c>
      <c r="F72">
        <v>4.129388753056233</v>
      </c>
      <c r="G72">
        <v>50</v>
      </c>
      <c r="H72" s="2" t="s">
        <v>34</v>
      </c>
    </row>
    <row r="73" spans="1:8">
      <c r="A73">
        <v>16</v>
      </c>
      <c r="B73">
        <v>9</v>
      </c>
      <c r="C73" t="s">
        <v>11</v>
      </c>
      <c r="D73">
        <v>76.60928961748634</v>
      </c>
      <c r="E73">
        <v>78.444444444444443</v>
      </c>
      <c r="F73">
        <v>1.8351548269581031</v>
      </c>
      <c r="G73">
        <v>27</v>
      </c>
      <c r="H73" s="2" t="s">
        <v>29</v>
      </c>
    </row>
    <row r="74" spans="1:8">
      <c r="A74">
        <v>16</v>
      </c>
      <c r="B74">
        <v>10</v>
      </c>
      <c r="C74" t="s">
        <v>17</v>
      </c>
      <c r="D74">
        <v>77.909604519774007</v>
      </c>
      <c r="E74">
        <v>81.816091954022994</v>
      </c>
      <c r="F74">
        <v>3.9064874342489868</v>
      </c>
      <c r="G74">
        <v>87</v>
      </c>
      <c r="H74" s="2" t="s">
        <v>44</v>
      </c>
    </row>
    <row r="81" spans="1:8">
      <c r="A81">
        <v>2</v>
      </c>
      <c r="B81">
        <v>2</v>
      </c>
      <c r="C81" t="s">
        <v>8</v>
      </c>
      <c r="D81" cm="1">
        <f t="array" ref="D81">AVERAGE(_xlfn._xlws.FILTER($D$2:D$74, $C$2:C$74=C81))</f>
        <v>73.800565560149721</v>
      </c>
      <c r="E81">
        <v>77.016042780748663</v>
      </c>
      <c r="F81" s="2">
        <f>E81-D81</f>
        <v>3.2154772205989417</v>
      </c>
      <c r="G81">
        <v>187</v>
      </c>
      <c r="H81" s="2" t="s">
        <v>40</v>
      </c>
    </row>
    <row r="82" spans="1:8">
      <c r="A82">
        <v>3</v>
      </c>
      <c r="B82">
        <v>3</v>
      </c>
      <c r="C82" t="s">
        <v>9</v>
      </c>
      <c r="D82" cm="1">
        <f t="array" ref="D82">AVERAGE(_xlfn._xlws.FILTER($D$2:D$74, $C$2:C$74=C82))</f>
        <v>75.438311688311686</v>
      </c>
      <c r="E82">
        <v>80.581395348837205</v>
      </c>
      <c r="F82" s="2">
        <f t="shared" ref="F82:F86" si="1">E82-D82</f>
        <v>5.1430836605255195</v>
      </c>
      <c r="G82">
        <v>43</v>
      </c>
      <c r="H82" t="s">
        <v>35</v>
      </c>
    </row>
    <row r="83" spans="1:8">
      <c r="A83">
        <v>8</v>
      </c>
      <c r="B83">
        <v>3</v>
      </c>
      <c r="C83" t="s">
        <v>17</v>
      </c>
      <c r="D83" cm="1">
        <f t="array" ref="D83">AVERAGE(_xlfn._xlws.FILTER($D$2:D$74, $C$2:C$74=C83))</f>
        <v>71.840238267550745</v>
      </c>
      <c r="E83">
        <v>67.362499999999997</v>
      </c>
      <c r="F83" s="2">
        <f t="shared" si="1"/>
        <v>-4.4777382675507482</v>
      </c>
      <c r="G83">
        <v>80</v>
      </c>
      <c r="H83" s="2" t="s">
        <v>41</v>
      </c>
    </row>
    <row r="84" spans="1:8">
      <c r="A84">
        <v>8</v>
      </c>
      <c r="B84">
        <v>5</v>
      </c>
      <c r="C84" t="s">
        <v>19</v>
      </c>
      <c r="D84" cm="1">
        <f t="array" ref="D84">AVERAGE(_xlfn._xlws.FILTER($D$2:D$74, $C$2:C$74=C84))</f>
        <v>87.932515337423311</v>
      </c>
      <c r="E84">
        <v>95.601010101010104</v>
      </c>
      <c r="F84" s="2">
        <f t="shared" si="1"/>
        <v>7.6684947635867928</v>
      </c>
      <c r="G84">
        <v>198</v>
      </c>
      <c r="H84" t="s">
        <v>30</v>
      </c>
    </row>
    <row r="85" spans="1:8">
      <c r="F85" s="2"/>
    </row>
    <row r="86" spans="1:8">
      <c r="A86">
        <v>12</v>
      </c>
      <c r="B86">
        <v>6</v>
      </c>
      <c r="C86" t="s">
        <v>7</v>
      </c>
      <c r="D86" cm="1">
        <f t="array" ref="D86">AVERAGE(_xlfn._xlws.FILTER($D$2:D$74, $C$2:C$74=C86))</f>
        <v>78.131498591531482</v>
      </c>
      <c r="E86">
        <v>70.487179487179489</v>
      </c>
      <c r="F86" s="2">
        <f t="shared" si="1"/>
        <v>-7.6443191043519931</v>
      </c>
      <c r="G86">
        <v>39</v>
      </c>
      <c r="H86" t="s">
        <v>50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粟生　将之</cp:lastModifiedBy>
  <dcterms:created xsi:type="dcterms:W3CDTF">2025-10-27T04:51:30Z</dcterms:created>
  <dcterms:modified xsi:type="dcterms:W3CDTF">2025-10-27T06:18:46Z</dcterms:modified>
</cp:coreProperties>
</file>