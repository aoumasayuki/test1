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filterPrivacy="1"/>
  <xr:revisionPtr revIDLastSave="0" documentId="13_ncr:1_{0726A6D4-79BC-5642-915C-64F89CAD524F}" xr6:coauthVersionLast="47" xr6:coauthVersionMax="47" xr10:uidLastSave="{00000000-0000-0000-0000-000000000000}"/>
  <bookViews>
    <workbookView xWindow="13340" yWindow="500" windowWidth="15420" windowHeight="15980" xr2:uid="{00000000-000D-0000-FFFF-FFFF00000000}"/>
  </bookViews>
  <sheets>
    <sheet name="Session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 a="1"/>
  <c r="J28" i="1" s="1"/>
  <c r="J2" i="1" a="1"/>
  <c r="J2" i="1" s="1"/>
  <c r="J3" i="1" a="1"/>
  <c r="J3" i="1" s="1"/>
  <c r="D87" i="1" a="1"/>
  <c r="D87" i="1" s="1"/>
  <c r="J25" i="1" a="1"/>
  <c r="J25" i="1" s="1"/>
  <c r="J29" i="1" a="1"/>
  <c r="J29" i="1" s="1"/>
  <c r="F54" i="1"/>
  <c r="D88" i="1" a="1"/>
  <c r="D88" i="1" s="1"/>
  <c r="D89" i="1" a="1"/>
  <c r="D89" i="1" s="1"/>
  <c r="D90" i="1" a="1"/>
  <c r="D90" i="1" s="1"/>
  <c r="J30" i="1" a="1"/>
  <c r="J30" i="1" s="1"/>
  <c r="J32" i="1" a="1"/>
  <c r="J32" i="1" s="1"/>
  <c r="J33" i="1" a="1"/>
  <c r="J33" i="1" s="1"/>
  <c r="J35" i="1" a="1"/>
  <c r="J35" i="1" s="1"/>
  <c r="J37" i="1" a="1"/>
  <c r="J37" i="1" s="1"/>
  <c r="J38" i="1" a="1"/>
  <c r="J38" i="1" s="1"/>
  <c r="J39" i="1" a="1"/>
  <c r="J39" i="1" s="1"/>
  <c r="J41" i="1" a="1"/>
  <c r="J41" i="1" s="1"/>
  <c r="J42" i="1" a="1"/>
  <c r="J42" i="1" s="1"/>
  <c r="D92" i="1" a="1"/>
  <c r="D92" i="1" s="1"/>
  <c r="F92" i="1" s="1"/>
  <c r="J23" i="1" s="1" a="1"/>
  <c r="J23" i="1" s="1"/>
  <c r="D91" i="1" a="1"/>
  <c r="D91" i="1" s="1"/>
  <c r="F91" i="1" s="1"/>
  <c r="J27" i="1" s="1" a="1"/>
  <c r="J27" i="1" s="1"/>
  <c r="J5" i="1" a="1"/>
  <c r="J5" i="1" s="1"/>
  <c r="J18" i="1" a="1"/>
  <c r="J18" i="1" s="1"/>
  <c r="J11" i="1" a="1"/>
  <c r="J11" i="1" s="1"/>
  <c r="J12" i="1" a="1"/>
  <c r="J12" i="1" s="1"/>
  <c r="J15" i="1" a="1"/>
  <c r="J15" i="1" s="1"/>
  <c r="J14" i="1" a="1"/>
  <c r="J14" i="1" s="1"/>
  <c r="F87" i="1" l="1"/>
  <c r="J22" i="1" s="1" a="1"/>
  <c r="J22" i="1" s="1"/>
  <c r="F89" i="1"/>
  <c r="J36" i="1" a="1"/>
  <c r="J36" i="1" s="1"/>
  <c r="F90" i="1"/>
  <c r="J31" i="1" a="1"/>
  <c r="J31" i="1" s="1"/>
  <c r="J40" i="1" a="1"/>
  <c r="J40" i="1" s="1"/>
  <c r="F88" i="1"/>
  <c r="J4" i="1" a="1"/>
  <c r="J4" i="1" s="1"/>
  <c r="J17" i="1" a="1"/>
  <c r="J17" i="1" s="1"/>
  <c r="J7" i="1" a="1"/>
  <c r="J7" i="1" s="1"/>
  <c r="J16" i="1" a="1"/>
  <c r="J16" i="1" s="1"/>
  <c r="J24" i="1" a="1"/>
  <c r="J24" i="1" s="1"/>
  <c r="J34" i="1" a="1"/>
  <c r="J34" i="1" s="1"/>
  <c r="J26" i="1" a="1"/>
  <c r="J26" i="1" s="1"/>
  <c r="J20" i="1" a="1"/>
  <c r="J20" i="1" s="1"/>
  <c r="J6" i="1" a="1"/>
  <c r="J6" i="1" s="1"/>
  <c r="J8" i="1" a="1"/>
  <c r="J8" i="1" s="1"/>
  <c r="J10" i="1" a="1"/>
  <c r="J10" i="1" s="1"/>
  <c r="J9" i="1" l="1" a="1"/>
  <c r="J9" i="1" s="1"/>
  <c r="J19" i="1" a="1"/>
  <c r="J19" i="1" s="1"/>
  <c r="J21" i="1" a="1"/>
  <c r="J21" i="1" s="1"/>
  <c r="J13" i="1" a="1"/>
  <c r="J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<sst xmlns="http://schemas.openxmlformats.org/spreadsheetml/2006/main" count="197" uniqueCount="62">
  <si>
    <t>あやか</t>
  </si>
  <si>
    <t>なつき</t>
  </si>
  <si>
    <t>えなみ</t>
  </si>
  <si>
    <t>はやと</t>
  </si>
  <si>
    <t>なかむら</t>
  </si>
  <si>
    <t>ふーま</t>
  </si>
  <si>
    <t>はなだ</t>
  </si>
  <si>
    <t>せいけん</t>
  </si>
  <si>
    <t>とも</t>
  </si>
  <si>
    <t>とがわ</t>
  </si>
  <si>
    <t>りゅうき</t>
  </si>
  <si>
    <t>しか</t>
  </si>
  <si>
    <t>にわ</t>
  </si>
  <si>
    <t>いしい</t>
  </si>
  <si>
    <t>あやか</t>
    <phoneticPr fontId="2"/>
  </si>
  <si>
    <t>なつき</t>
    <phoneticPr fontId="2"/>
  </si>
  <si>
    <t>はやと</t>
    <phoneticPr fontId="2"/>
  </si>
  <si>
    <t>なかむら</t>
    <phoneticPr fontId="2"/>
  </si>
  <si>
    <t>ふーま</t>
    <phoneticPr fontId="2"/>
  </si>
  <si>
    <t>せいけん</t>
    <phoneticPr fontId="2"/>
  </si>
  <si>
    <t>とも</t>
    <phoneticPr fontId="2"/>
  </si>
  <si>
    <t>とがわ</t>
    <phoneticPr fontId="2"/>
  </si>
  <si>
    <t>りゅうき</t>
    <phoneticPr fontId="2"/>
  </si>
  <si>
    <t>しか</t>
    <phoneticPr fontId="2"/>
  </si>
  <si>
    <t>にわ</t>
    <phoneticPr fontId="2"/>
  </si>
  <si>
    <t>いしい</t>
    <phoneticPr fontId="2"/>
  </si>
  <si>
    <t>共犯</t>
    <rPh sb="0" eb="2">
      <t>キョウ</t>
    </rPh>
    <phoneticPr fontId="2"/>
  </si>
  <si>
    <t>人狼</t>
    <rPh sb="0" eb="2">
      <t>ジンロウ</t>
    </rPh>
    <phoneticPr fontId="2"/>
  </si>
  <si>
    <t>人狼</t>
    <rPh sb="0" eb="1">
      <t>ジンロウ</t>
    </rPh>
    <phoneticPr fontId="2"/>
  </si>
  <si>
    <t>村人</t>
    <rPh sb="0" eb="2">
      <t>ムラビト</t>
    </rPh>
    <phoneticPr fontId="2"/>
  </si>
  <si>
    <t>村人</t>
    <rPh sb="0" eb="1">
      <t>ムラビト</t>
    </rPh>
    <phoneticPr fontId="2"/>
  </si>
  <si>
    <t>妖狐</t>
    <rPh sb="0" eb="2">
      <t xml:space="preserve">ヨウコ </t>
    </rPh>
    <phoneticPr fontId="2"/>
  </si>
  <si>
    <t>預言</t>
    <rPh sb="0" eb="2">
      <t>ヨゲn</t>
    </rPh>
    <phoneticPr fontId="2"/>
  </si>
  <si>
    <t>霊媒</t>
    <rPh sb="0" eb="2">
      <t>レイバイ</t>
    </rPh>
    <phoneticPr fontId="2"/>
  </si>
  <si>
    <t>騎士</t>
    <rPh sb="0" eb="2">
      <t xml:space="preserve">キシ </t>
    </rPh>
    <phoneticPr fontId="2"/>
  </si>
  <si>
    <t>はなだ</t>
    <phoneticPr fontId="2"/>
  </si>
  <si>
    <t>えなみ</t>
    <phoneticPr fontId="2"/>
  </si>
  <si>
    <t>人狼</t>
  </si>
  <si>
    <t>村人</t>
  </si>
  <si>
    <t>霊媒</t>
  </si>
  <si>
    <t>預言</t>
  </si>
  <si>
    <t>共犯</t>
  </si>
  <si>
    <t>騎士</t>
  </si>
  <si>
    <t>にし</t>
  </si>
  <si>
    <t>いのうえ</t>
  </si>
  <si>
    <t>かつい</t>
  </si>
  <si>
    <t>騎士</t>
    <rPh sb="0" eb="2">
      <t>キセィ</t>
    </rPh>
    <phoneticPr fontId="2"/>
  </si>
  <si>
    <t>人狼</t>
    <rPh sb="0" eb="1">
      <t xml:space="preserve">ジンロウ </t>
    </rPh>
    <phoneticPr fontId="2"/>
  </si>
  <si>
    <t>かつい</t>
    <phoneticPr fontId="2"/>
  </si>
  <si>
    <t>騎士</t>
    <rPh sb="0" eb="1">
      <t>キセィ</t>
    </rPh>
    <phoneticPr fontId="2"/>
  </si>
  <si>
    <t>ふせや</t>
  </si>
  <si>
    <t>預言</t>
    <rPh sb="0" eb="1">
      <t>ヨゲn</t>
    </rPh>
    <phoneticPr fontId="2"/>
  </si>
  <si>
    <t>たつなり</t>
  </si>
  <si>
    <t>ごまもの</t>
  </si>
  <si>
    <t>ひろと</t>
  </si>
  <si>
    <t>まきの</t>
  </si>
  <si>
    <t>共犯</t>
    <rPh sb="0" eb="1">
      <t>キョウ</t>
    </rPh>
    <phoneticPr fontId="2"/>
  </si>
  <si>
    <t>妖狐</t>
    <rPh sb="0" eb="2">
      <t>ヨウコ</t>
    </rPh>
    <phoneticPr fontId="2"/>
  </si>
  <si>
    <t>霊媒</t>
    <rPh sb="0" eb="1">
      <t>レイバイ</t>
    </rPh>
    <phoneticPr fontId="2"/>
  </si>
  <si>
    <t>o</t>
    <phoneticPr fontId="2"/>
  </si>
  <si>
    <t>x</t>
    <phoneticPr fontId="2"/>
  </si>
  <si>
    <t>o?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</si>
</sst>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1"/>
      <color theme="1"/>
      <name val="MS PGothic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24-7E42-8EA4-021AEEF5CB5F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24-7E42-8EA4-021AEEF5CB5F}"/>
              </c:ext>
            </c:extLst>
          </c:dPt>
          <c:cat>
            <c:strRef>
              <c:f>Session_6!$I$22:$I$27</c:f>
              <c:strCache>
                <c:ptCount val="6"/>
                <c:pt idx="0">
                  <c:v>村人</c:v>
                </c:pt>
                <c:pt idx="1">
                  <c:v>預言</c:v>
                </c:pt>
                <c:pt idx="2">
                  <c:v>騎士</c:v>
                </c:pt>
                <c:pt idx="3">
                  <c:v>霊媒</c:v>
                </c:pt>
                <c:pt idx="4">
                  <c:v>共犯</c:v>
                </c:pt>
                <c:pt idx="5">
                  <c:v>人狼</c:v>
                </c:pt>
              </c:strCache>
            </c:strRef>
          </c:cat>
          <c:val>
            <c:numRef>
              <c:f>Session_6!$J$22:$J$27</c:f>
              <c:numCache>
                <c:formatCode>General</c:formatCode>
                <c:ptCount val="6"/>
                <c:pt idx="0">
                  <c:v>1.1078417094005921E-2</c:v>
                </c:pt>
                <c:pt idx="1">
                  <c:v>3.5715038291901293</c:v>
                </c:pt>
                <c:pt idx="2">
                  <c:v>2.6043215975888097</c:v>
                </c:pt>
                <c:pt idx="3">
                  <c:v>7.8718665511494077</c:v>
                </c:pt>
                <c:pt idx="4">
                  <c:v>8.5265170706829743</c:v>
                </c:pt>
                <c:pt idx="5">
                  <c:v>10.050843843260406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4-7E42-8EA4-021AEEF5C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0394127"/>
        <c:axId val="970609311"/>
      </c:barChart>
      <c:catAx>
        <c:axId val="1740394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0609311"/>
        <c:crosses val="autoZero"/>
        <c:auto val="1"/>
        <c:lblAlgn val="ctr"/>
        <c:lblOffset val="100"/>
        <c:noMultiLvlLbl val="0"/>
      </c:catAx>
      <c:valAx>
        <c:axId val="9706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039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331850</xdr:colOff>
      <xdr:row>35</xdr:row>
      <xdr:rowOff>140363</xdr:rowOff>
    </xdr:from>
    <xdr:to>
      <xdr:col>20</xdr:col>
      <xdr:colOff>209090</xdr:colOff>
      <xdr:row>50</xdr:row>
      <xdr:rowOff>140363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A6475DE-7CC2-36D2-1D2D-4827E18B3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92"/>
  <sheetViews>
    <sheetView tabSelected="1" topLeftCell="G1" zoomScale="143" zoomScaleNormal="75" workbookViewId="0">
      <selection activeCell="I2" sqref="I2"/>
    </sheetView>
  </sheetViews>
  <sheetFormatPr baseColWidth="10" defaultColWidth="8.83203125" defaultRowHeight="14"/>
  <sheetData>
    <row r="2" spans="1:37">
      <c r="A2">
        <v>12</v>
      </c>
      <c r="B2">
        <v>1</v>
      </c>
      <c r="C2" t="s">
        <v>10</v>
      </c>
      <c r="D2">
        <v>99.875</v>
      </c>
      <c r="E2">
        <v>88.05411255411255</v>
      </c>
      <c r="F2">
        <v>-11.82088744588745</v>
      </c>
      <c r="G2">
        <v>924</v>
      </c>
      <c r="H2" t="s">
        <v>29</v>
      </c>
      <c r="I2" t="s">
        <v>14</v>
      </c>
      <c r="J2" cm="1">
        <f t="array" ref="J2:P2">TRANSPOSE(_xlfn._xlws.FILTER(F:F, C:C=I2))</f>
        <v>3.9854211929010432</v>
      </c>
      <c r="K2">
        <v>1.260848</v>
      </c>
      <c r="L2">
        <v>4.2175929999999999</v>
      </c>
      <c r="M2" s="1">
        <v>-0.77009000000000005</v>
      </c>
      <c r="N2">
        <v>-1.0463886103081421</v>
      </c>
      <c r="O2">
        <v>3.5105441433566398</v>
      </c>
      <c r="P2">
        <v>3.9849514404368733</v>
      </c>
    </row>
    <row r="3" spans="1:37">
      <c r="A3">
        <v>12</v>
      </c>
      <c r="B3">
        <v>2</v>
      </c>
      <c r="C3" t="s">
        <v>0</v>
      </c>
      <c r="D3">
        <v>83.409470752089135</v>
      </c>
      <c r="E3">
        <v>87.394891944990178</v>
      </c>
      <c r="F3">
        <v>3.9854211929010432</v>
      </c>
      <c r="G3">
        <v>1018</v>
      </c>
      <c r="H3" t="s">
        <v>27</v>
      </c>
      <c r="I3" t="s">
        <v>15</v>
      </c>
      <c r="J3" cm="1">
        <f t="array" ref="J3:N3">TRANSPOSE(_xlfn._xlws.FILTER(F:F, C:C=I3))</f>
        <v>4.2104111986001698</v>
      </c>
      <c r="K3">
        <v>-2.2282999999999999</v>
      </c>
      <c r="L3" s="1">
        <v>-2.6549399999999999</v>
      </c>
      <c r="M3">
        <v>-0.15473488755931442</v>
      </c>
      <c r="N3">
        <v>6.5022288414133129</v>
      </c>
    </row>
    <row r="4" spans="1:37">
      <c r="A4">
        <v>12</v>
      </c>
      <c r="B4">
        <v>3</v>
      </c>
      <c r="C4" t="s">
        <v>2</v>
      </c>
      <c r="D4">
        <v>71.526315789473685</v>
      </c>
      <c r="E4">
        <v>77.678506375227684</v>
      </c>
      <c r="F4">
        <v>6.1521905857539991</v>
      </c>
      <c r="G4">
        <v>1098</v>
      </c>
      <c r="H4" t="s">
        <v>26</v>
      </c>
      <c r="I4" t="s">
        <v>36</v>
      </c>
      <c r="J4" cm="1">
        <f t="array" ref="J4:O4">TRANSPOSE(_xlfn._xlws.FILTER(F:F, C:C=I4))</f>
        <v>6.1521905857539991</v>
      </c>
      <c r="K4">
        <v>8.7662650000000006</v>
      </c>
      <c r="L4">
        <v>7.5056503779908041</v>
      </c>
      <c r="M4">
        <v>1.8848585674743106</v>
      </c>
      <c r="N4">
        <v>8.8260240091693305</v>
      </c>
      <c r="O4">
        <v>1.9901513162642743</v>
      </c>
    </row>
    <row r="5" spans="1:37">
      <c r="A5">
        <v>12</v>
      </c>
      <c r="B5">
        <v>4</v>
      </c>
      <c r="C5" t="s">
        <v>11</v>
      </c>
      <c r="D5">
        <v>70.094736842105263</v>
      </c>
      <c r="E5">
        <v>72.674863387978135</v>
      </c>
      <c r="F5">
        <v>2.5801265458728722</v>
      </c>
      <c r="G5">
        <v>1098</v>
      </c>
      <c r="H5" t="s">
        <v>30</v>
      </c>
      <c r="I5" t="s">
        <v>16</v>
      </c>
      <c r="J5" cm="1">
        <f t="array" ref="J5">TRANSPOSE(_xlfn._xlws.FILTER(F:F, C:C=I5))</f>
        <v>-5.1045861297539261</v>
      </c>
    </row>
    <row r="6" spans="1:37">
      <c r="A6">
        <v>12</v>
      </c>
      <c r="B6">
        <v>5</v>
      </c>
      <c r="C6" t="s">
        <v>9</v>
      </c>
      <c r="D6">
        <v>92.498550724637681</v>
      </c>
      <c r="E6">
        <v>122.56772334293949</v>
      </c>
      <c r="F6">
        <v>30.069172618301806</v>
      </c>
      <c r="G6">
        <v>347</v>
      </c>
      <c r="H6" t="s">
        <v>28</v>
      </c>
      <c r="I6" t="s">
        <v>17</v>
      </c>
      <c r="J6" cm="1">
        <f t="array" ref="J6:M6">TRANSPOSE(_xlfn._xlws.FILTER(F:F, C:C=I6))</f>
        <v>8.5399290000000008</v>
      </c>
      <c r="K6">
        <v>12.32479</v>
      </c>
      <c r="L6">
        <v>-5.0798891528107646</v>
      </c>
      <c r="M6">
        <v>3.0769422576853174</v>
      </c>
    </row>
    <row r="7" spans="1:37">
      <c r="I7" t="s">
        <v>18</v>
      </c>
      <c r="J7" cm="1">
        <f t="array" ref="J7:K7">TRANSPOSE(_xlfn._xlws.FILTER(F:F, C:C=I7))</f>
        <v>-3.6227987382330298</v>
      </c>
      <c r="K7">
        <v>20.83978466257669</v>
      </c>
    </row>
    <row r="8" spans="1:37">
      <c r="A8">
        <v>12</v>
      </c>
      <c r="B8">
        <v>7</v>
      </c>
      <c r="C8" t="s">
        <v>12</v>
      </c>
      <c r="D8">
        <v>93.634782608695659</v>
      </c>
      <c r="E8">
        <v>93.839639639639643</v>
      </c>
      <c r="F8">
        <v>0.20485703094398389</v>
      </c>
      <c r="G8">
        <v>555</v>
      </c>
      <c r="H8" t="s">
        <v>29</v>
      </c>
      <c r="I8" t="s">
        <v>35</v>
      </c>
      <c r="J8" cm="1">
        <f t="array" ref="J8:M8">TRANSPOSE(_xlfn._xlws.FILTER(F:F, C:C=I8))</f>
        <v>-0.39742</v>
      </c>
      <c r="K8">
        <v>1.0468889271436979</v>
      </c>
      <c r="L8">
        <v>0.87745608128787467</v>
      </c>
      <c r="M8">
        <v>1.6601286605501144</v>
      </c>
    </row>
    <row r="9" spans="1:37">
      <c r="A9">
        <v>12</v>
      </c>
      <c r="B9">
        <v>8</v>
      </c>
      <c r="C9" t="s">
        <v>1</v>
      </c>
      <c r="D9">
        <v>81.845144356955387</v>
      </c>
      <c r="E9">
        <v>86.055555555555557</v>
      </c>
      <c r="F9">
        <v>4.2104111986001698</v>
      </c>
      <c r="G9">
        <v>972</v>
      </c>
      <c r="H9" t="s">
        <v>33</v>
      </c>
      <c r="I9" t="s">
        <v>19</v>
      </c>
      <c r="J9" cm="1">
        <f t="array" ref="J9:O9">TRANSPOSE(_xlfn._xlws.FILTER(F:F, C:C=I9))</f>
        <v>0.83379899999999996</v>
      </c>
      <c r="K9">
        <v>-4.0303399999999998</v>
      </c>
      <c r="L9">
        <v>-18.011741606126051</v>
      </c>
      <c r="M9">
        <v>2.0071221313637579</v>
      </c>
      <c r="N9">
        <v>2.9241015778040946E-2</v>
      </c>
      <c r="O9">
        <v>-6.1903869022801388</v>
      </c>
    </row>
    <row r="10" spans="1:37">
      <c r="A10">
        <v>12</v>
      </c>
      <c r="B10">
        <v>9</v>
      </c>
      <c r="C10" t="s">
        <v>13</v>
      </c>
      <c r="D10">
        <v>85.275590551181097</v>
      </c>
      <c r="E10">
        <v>88.355839416058387</v>
      </c>
      <c r="F10">
        <v>3.0802488648772908</v>
      </c>
      <c r="G10">
        <v>1096</v>
      </c>
      <c r="H10" t="s">
        <v>32</v>
      </c>
      <c r="I10" t="s">
        <v>20</v>
      </c>
      <c r="J10" cm="1">
        <f t="array" ref="J10:M10">TRANSPOSE(_xlfn._xlws.FILTER(F:F, C:C=I10))</f>
        <v>10.476760000000001</v>
      </c>
      <c r="K10">
        <v>1.6833630421865706</v>
      </c>
      <c r="L10">
        <v>-3.1141337386018222</v>
      </c>
      <c r="M10">
        <v>5.1434042232087904</v>
      </c>
    </row>
    <row r="11" spans="1:37">
      <c r="A11" s="1">
        <v>10</v>
      </c>
      <c r="B11" s="1">
        <v>1</v>
      </c>
      <c r="C11" s="1" t="s">
        <v>10</v>
      </c>
      <c r="D11" s="1">
        <v>83.529409999999999</v>
      </c>
      <c r="E11" s="1">
        <v>89.08135</v>
      </c>
      <c r="F11" s="1">
        <v>5.5519410000000002</v>
      </c>
      <c r="G11" s="1">
        <v>1094</v>
      </c>
      <c r="H11" s="1" t="s">
        <v>37</v>
      </c>
      <c r="I11" t="s">
        <v>21</v>
      </c>
      <c r="J11" cm="1">
        <f t="array" ref="J11:R11">TRANSPOSE(_xlfn._xlws.FILTER(F:F, C:C=I11))</f>
        <v>30.069172618301806</v>
      </c>
      <c r="K11">
        <v>9.8310359999999992</v>
      </c>
      <c r="L11">
        <v>-5.3578299999999999</v>
      </c>
      <c r="M11">
        <v>16.644100000000002</v>
      </c>
      <c r="N11">
        <v>15.110055478502076</v>
      </c>
      <c r="O11">
        <v>17.47812831389183</v>
      </c>
      <c r="P11">
        <v>-0.95181321735718427</v>
      </c>
      <c r="Q11">
        <v>10.570664824427098</v>
      </c>
      <c r="R11">
        <v>17.693460430059801</v>
      </c>
    </row>
    <row r="12" spans="1:37">
      <c r="A12" s="1">
        <v>10</v>
      </c>
      <c r="B12" s="1">
        <v>2</v>
      </c>
      <c r="C12" s="1" t="s">
        <v>0</v>
      </c>
      <c r="D12" s="1">
        <v>86.953950000000006</v>
      </c>
      <c r="E12" s="1">
        <v>88.214799999999997</v>
      </c>
      <c r="F12" s="1">
        <v>1.260848</v>
      </c>
      <c r="G12" s="1">
        <v>1122</v>
      </c>
      <c r="H12" s="1" t="s">
        <v>38</v>
      </c>
      <c r="I12" t="s">
        <v>22</v>
      </c>
      <c r="J12" cm="1">
        <f t="array" ref="J12:K12">TRANSPOSE(_xlfn._xlws.FILTER(F:F, C:C=I12))</f>
        <v>-11.82088744588745</v>
      </c>
      <c r="K12">
        <v>5.5519410000000002</v>
      </c>
    </row>
    <row r="13" spans="1:37">
      <c r="A13" s="1">
        <v>10</v>
      </c>
      <c r="B13" s="1">
        <v>3</v>
      </c>
      <c r="C13" s="1" t="s">
        <v>2</v>
      </c>
      <c r="D13" s="1">
        <v>65.965320000000006</v>
      </c>
      <c r="E13" s="1">
        <v>74.731579999999994</v>
      </c>
      <c r="F13" s="1">
        <v>8.7662650000000006</v>
      </c>
      <c r="G13" s="1">
        <v>1181</v>
      </c>
      <c r="H13" s="1" t="s">
        <v>37</v>
      </c>
      <c r="I13" t="s">
        <v>23</v>
      </c>
      <c r="J13" cm="1">
        <f t="array" ref="J13:N13">TRANSPOSE(_xlfn._xlws.FILTER(F:F, C:C=I13))</f>
        <v>2.5801265458728722</v>
      </c>
      <c r="K13">
        <v>-4.4288100000000004</v>
      </c>
      <c r="L13">
        <v>24.193745225362875</v>
      </c>
      <c r="M13">
        <v>11.998200992555837</v>
      </c>
      <c r="N13">
        <v>14.938304728867635</v>
      </c>
    </row>
    <row r="14" spans="1:37">
      <c r="A14" s="1">
        <v>10</v>
      </c>
      <c r="B14" s="1">
        <v>4</v>
      </c>
      <c r="C14" s="1" t="s">
        <v>11</v>
      </c>
      <c r="D14" s="1">
        <v>83.352599999999995</v>
      </c>
      <c r="E14" s="1">
        <v>78.923789999999997</v>
      </c>
      <c r="F14" s="1">
        <v>-4.4288100000000004</v>
      </c>
      <c r="G14" s="1">
        <v>1181</v>
      </c>
      <c r="H14" s="1" t="s">
        <v>39</v>
      </c>
      <c r="I14" t="s">
        <v>24</v>
      </c>
      <c r="J14" cm="1">
        <f t="array" ref="J14:K14">TRANSPOSE(_xlfn._xlws.FILTER(F:F, C:C=I14))</f>
        <v>0.20485703094398389</v>
      </c>
      <c r="K14">
        <v>9.1245980000000007</v>
      </c>
    </row>
    <row r="15" spans="1:37">
      <c r="A15" s="1">
        <v>10</v>
      </c>
      <c r="B15" s="1">
        <v>5</v>
      </c>
      <c r="C15" s="1" t="s">
        <v>9</v>
      </c>
      <c r="D15" s="1">
        <v>86.75</v>
      </c>
      <c r="E15" s="1">
        <v>96.581040000000002</v>
      </c>
      <c r="F15" s="1">
        <v>9.8310359999999992</v>
      </c>
      <c r="G15" s="1">
        <v>907</v>
      </c>
      <c r="H15" s="1" t="s">
        <v>38</v>
      </c>
      <c r="I15" t="s">
        <v>25</v>
      </c>
      <c r="J15" cm="1">
        <f t="array" ref="J15:M15">TRANSPOSE(_xlfn._xlws.FILTER(F:F, C:C=I15))</f>
        <v>3.0802488648772908</v>
      </c>
      <c r="K15">
        <v>7.7963310000000003</v>
      </c>
      <c r="L15">
        <v>7.4132739099012213</v>
      </c>
      <c r="M15">
        <v>14.213108443578548</v>
      </c>
    </row>
    <row r="16" spans="1:37">
      <c r="A16" s="1">
        <v>10</v>
      </c>
      <c r="B16" s="1">
        <v>6</v>
      </c>
      <c r="C16" s="1" t="s">
        <v>7</v>
      </c>
      <c r="D16" s="1">
        <v>65</v>
      </c>
      <c r="E16" s="1">
        <v>65.833799999999997</v>
      </c>
      <c r="F16" s="1">
        <v>0.83379899999999996</v>
      </c>
      <c r="G16" s="1">
        <v>716</v>
      </c>
      <c r="H16" s="1" t="s">
        <v>40</v>
      </c>
      <c r="I16" t="s">
        <v>29</v>
      </c>
      <c r="J16" cm="1">
        <f t="array" ref="J16:AK16">TRANSPOSE(_xlfn._xlws.FILTER(F:F, H:H=I16))</f>
        <v>-11.82088744588745</v>
      </c>
      <c r="K16">
        <v>2.5801265458728722</v>
      </c>
      <c r="L16">
        <v>0.20485703094398389</v>
      </c>
      <c r="M16">
        <v>1.260848</v>
      </c>
      <c r="N16">
        <v>9.8310359999999992</v>
      </c>
      <c r="O16">
        <v>-2.2282999999999999</v>
      </c>
      <c r="P16">
        <v>4.2175929999999999</v>
      </c>
      <c r="Q16">
        <v>8.5399290000000008</v>
      </c>
      <c r="R16">
        <v>-0.39742</v>
      </c>
      <c r="S16">
        <v>-4.0303399999999998</v>
      </c>
      <c r="T16">
        <v>-0.77009000000000005</v>
      </c>
      <c r="U16">
        <v>-2.3860700000000001</v>
      </c>
      <c r="V16">
        <v>-5.1045861297539261</v>
      </c>
      <c r="W16">
        <v>-3.6227987382330298</v>
      </c>
      <c r="X16">
        <v>-18.011741606126051</v>
      </c>
      <c r="Y16">
        <v>3.0769422576853174</v>
      </c>
      <c r="Z16">
        <v>8.6928187633262297</v>
      </c>
      <c r="AA16">
        <v>5.3841071336291435</v>
      </c>
      <c r="AB16">
        <v>3.9849514404368733</v>
      </c>
      <c r="AC16">
        <v>-0.95181321735718427</v>
      </c>
      <c r="AD16">
        <v>0.79779908404995581</v>
      </c>
      <c r="AE16">
        <v>7.4132739099012213</v>
      </c>
      <c r="AF16">
        <v>-0.15473488755931442</v>
      </c>
      <c r="AG16">
        <v>10.570664824427098</v>
      </c>
      <c r="AH16">
        <v>4.0248887866237055</v>
      </c>
      <c r="AI16">
        <v>-20.210708332083428</v>
      </c>
      <c r="AJ16">
        <v>6.5022288414133129</v>
      </c>
      <c r="AK16">
        <v>-7.0823785826771655</v>
      </c>
    </row>
    <row r="17" spans="1:24">
      <c r="A17" s="1">
        <v>10</v>
      </c>
      <c r="B17" s="1">
        <v>7</v>
      </c>
      <c r="C17" s="1" t="s">
        <v>12</v>
      </c>
      <c r="D17" s="1">
        <v>80.883120000000005</v>
      </c>
      <c r="E17" s="1">
        <v>90.007710000000003</v>
      </c>
      <c r="F17" s="1">
        <v>9.1245980000000007</v>
      </c>
      <c r="G17" s="1">
        <v>1037</v>
      </c>
      <c r="H17" s="1" t="s">
        <v>41</v>
      </c>
      <c r="I17" t="s">
        <v>32</v>
      </c>
      <c r="J17" cm="1">
        <f t="array" ref="J17:S17">TRANSPOSE(_xlfn._xlws.FILTER(F:F, H:H=I17))</f>
        <v>3.0802488648772908</v>
      </c>
      <c r="K17">
        <v>0.83379899999999996</v>
      </c>
      <c r="L17">
        <v>-5.3578299999999999</v>
      </c>
      <c r="M17">
        <v>5.3791399999999996</v>
      </c>
      <c r="N17">
        <v>1.6833630421865706</v>
      </c>
      <c r="O17">
        <v>2.9241015778040946E-2</v>
      </c>
      <c r="P17">
        <v>1.8848585674743106</v>
      </c>
      <c r="Q17">
        <v>14.213108443578548</v>
      </c>
      <c r="R17">
        <v>8.8260240091693305</v>
      </c>
      <c r="S17">
        <v>5.1430853488372037</v>
      </c>
    </row>
    <row r="18" spans="1:24">
      <c r="A18" s="1">
        <v>10</v>
      </c>
      <c r="B18" s="1">
        <v>8</v>
      </c>
      <c r="C18" s="1" t="s">
        <v>1</v>
      </c>
      <c r="D18" s="1">
        <v>79.860470000000007</v>
      </c>
      <c r="E18" s="1">
        <v>77.632170000000002</v>
      </c>
      <c r="F18" s="1">
        <v>-2.2282999999999999</v>
      </c>
      <c r="G18" s="1">
        <v>9469</v>
      </c>
      <c r="H18" s="1" t="s">
        <v>38</v>
      </c>
      <c r="I18" t="s">
        <v>33</v>
      </c>
      <c r="J18" cm="1">
        <f t="array" ref="J18:P18">TRANSPOSE(_xlfn._xlws.FILTER(F:F, H:H=I18))</f>
        <v>4.2104111986001698</v>
      </c>
      <c r="K18">
        <v>-4.4288100000000004</v>
      </c>
      <c r="L18">
        <v>10.476760000000001</v>
      </c>
      <c r="M18">
        <v>1.0468889271436979</v>
      </c>
      <c r="N18">
        <v>17.47812831389183</v>
      </c>
      <c r="O18">
        <v>8.6262269883503535</v>
      </c>
      <c r="P18">
        <v>17.693460430059801</v>
      </c>
    </row>
    <row r="19" spans="1:24">
      <c r="A19" s="1">
        <v>10</v>
      </c>
      <c r="B19" s="1">
        <v>9</v>
      </c>
      <c r="C19" s="1" t="s">
        <v>13</v>
      </c>
      <c r="D19" s="1">
        <v>83.279070000000004</v>
      </c>
      <c r="E19" s="1">
        <v>91.075400000000002</v>
      </c>
      <c r="F19" s="1">
        <v>7.7963310000000003</v>
      </c>
      <c r="G19" s="1">
        <v>1061</v>
      </c>
      <c r="H19" s="1" t="s">
        <v>42</v>
      </c>
      <c r="I19" t="s">
        <v>34</v>
      </c>
      <c r="J19" cm="1">
        <f t="array" ref="J19:P19">TRANSPOSE(_xlfn._xlws.FILTER(F:F, H:H=I19))</f>
        <v>7.7963310000000003</v>
      </c>
      <c r="K19">
        <v>21.168050000000001</v>
      </c>
      <c r="L19">
        <v>-5.0798891528107646</v>
      </c>
      <c r="M19">
        <v>-3.1141337386018222</v>
      </c>
      <c r="N19">
        <v>1.6601286605501144</v>
      </c>
      <c r="O19">
        <v>-6.1903869022801388</v>
      </c>
      <c r="P19">
        <v>1.9901513162642743</v>
      </c>
    </row>
    <row r="20" spans="1:24">
      <c r="A20" s="1">
        <v>8</v>
      </c>
      <c r="B20" s="1">
        <v>1</v>
      </c>
      <c r="C20" s="1" t="s">
        <v>0</v>
      </c>
      <c r="D20" s="1">
        <v>92.8</v>
      </c>
      <c r="E20" s="1">
        <v>97.017589999999998</v>
      </c>
      <c r="F20" s="1">
        <v>4.2175929999999999</v>
      </c>
      <c r="G20" s="1">
        <v>1080</v>
      </c>
      <c r="H20" s="1" t="s">
        <v>38</v>
      </c>
      <c r="I20" t="s">
        <v>27</v>
      </c>
      <c r="J20" cm="1">
        <f t="array" ref="J20:X20">TRANSPOSE(_xlfn._xlws.FILTER(F:F, H:H=I20))</f>
        <v>3.9854211929010432</v>
      </c>
      <c r="K20">
        <v>30.069172618301806</v>
      </c>
      <c r="L20">
        <v>5.5519410000000002</v>
      </c>
      <c r="M20">
        <v>8.7662650000000006</v>
      </c>
      <c r="N20">
        <v>-2.6549399999999999</v>
      </c>
      <c r="O20">
        <v>16.644100000000002</v>
      </c>
      <c r="P20">
        <v>12.32479</v>
      </c>
      <c r="Q20">
        <v>7.5056503779908041</v>
      </c>
      <c r="R20">
        <v>2.0071221313637579</v>
      </c>
      <c r="S20">
        <v>3.5105441433566398</v>
      </c>
      <c r="T20">
        <v>5.1434042232087904</v>
      </c>
      <c r="U20">
        <v>0.87745608128787467</v>
      </c>
      <c r="V20">
        <v>24.193745225362875</v>
      </c>
      <c r="W20">
        <v>11.998200992555837</v>
      </c>
      <c r="X20">
        <v>20.83978466257669</v>
      </c>
    </row>
    <row r="21" spans="1:24">
      <c r="A21" s="1">
        <v>8</v>
      </c>
      <c r="B21" s="1">
        <v>2</v>
      </c>
      <c r="C21" s="1" t="s">
        <v>1</v>
      </c>
      <c r="D21" s="1">
        <v>94.916669999999996</v>
      </c>
      <c r="E21" s="1">
        <v>92.261719999999997</v>
      </c>
      <c r="F21" s="1">
        <v>-2.6549399999999999</v>
      </c>
      <c r="G21" s="1">
        <v>661</v>
      </c>
      <c r="H21" s="1" t="s">
        <v>37</v>
      </c>
      <c r="I21" t="s">
        <v>26</v>
      </c>
      <c r="J21" cm="1">
        <f t="array" ref="J21:N21">TRANSPOSE(_xlfn._xlws.FILTER(F:F, H:H=I21))</f>
        <v>6.1521905857539991</v>
      </c>
      <c r="K21">
        <v>9.1245980000000007</v>
      </c>
      <c r="L21">
        <v>-1.0463886103081421</v>
      </c>
      <c r="M21">
        <v>13.463880649101384</v>
      </c>
      <c r="N21">
        <v>14.938304728867635</v>
      </c>
    </row>
    <row r="22" spans="1:24">
      <c r="I22" t="s">
        <v>29</v>
      </c>
      <c r="J22" cm="1">
        <f t="array" ref="J22">AVERAGE(_xlfn._xlws.FILTER(F:F, H:H=I16))</f>
        <v>1.1078417094005921E-2</v>
      </c>
    </row>
    <row r="23" spans="1:24">
      <c r="A23" s="1">
        <v>8</v>
      </c>
      <c r="B23" s="1">
        <v>4</v>
      </c>
      <c r="C23" s="1" t="s">
        <v>4</v>
      </c>
      <c r="D23" s="1">
        <v>88.442620000000005</v>
      </c>
      <c r="E23" s="1">
        <v>96.982550000000003</v>
      </c>
      <c r="F23" s="1">
        <v>8.5399290000000008</v>
      </c>
      <c r="G23" s="1">
        <v>917</v>
      </c>
      <c r="H23" s="1" t="s">
        <v>38</v>
      </c>
      <c r="I23" t="s">
        <v>32</v>
      </c>
      <c r="J23" cm="1">
        <f t="array" ref="J23">AVERAGE(_xlfn._xlws.FILTER(F:F, H:H=I23))</f>
        <v>3.5715038291901293</v>
      </c>
    </row>
    <row r="24" spans="1:24">
      <c r="I24" t="s">
        <v>49</v>
      </c>
      <c r="J24" cm="1">
        <f t="array" ref="J24">AVERAGE(_xlfn._xlws.FILTER(F:F, H:H=I24))</f>
        <v>2.6043215975888097</v>
      </c>
    </row>
    <row r="25" spans="1:24">
      <c r="A25" s="1">
        <v>8</v>
      </c>
      <c r="B25" s="1">
        <v>6</v>
      </c>
      <c r="C25" s="1" t="s">
        <v>6</v>
      </c>
      <c r="D25" s="1">
        <v>81.254239999999996</v>
      </c>
      <c r="E25" s="1">
        <v>80.856809999999996</v>
      </c>
      <c r="F25" s="1">
        <v>-0.39742</v>
      </c>
      <c r="G25" s="1">
        <v>433</v>
      </c>
      <c r="H25" s="1" t="s">
        <v>38</v>
      </c>
      <c r="I25" t="s">
        <v>39</v>
      </c>
      <c r="J25" cm="1">
        <f t="array" ref="J25">AVERAGE(_xlfn._xlws.FILTER(F:F, H:H=I25))</f>
        <v>7.8718665511494077</v>
      </c>
    </row>
    <row r="26" spans="1:24">
      <c r="A26" s="1">
        <v>8</v>
      </c>
      <c r="B26" s="1">
        <v>7</v>
      </c>
      <c r="C26" s="1" t="s">
        <v>9</v>
      </c>
      <c r="D26" s="1">
        <v>96</v>
      </c>
      <c r="E26" s="1">
        <v>90.642169999999993</v>
      </c>
      <c r="F26" s="1">
        <v>-5.3578299999999999</v>
      </c>
      <c r="G26" s="1">
        <v>1034</v>
      </c>
      <c r="H26" s="1" t="s">
        <v>40</v>
      </c>
      <c r="I26" t="s">
        <v>26</v>
      </c>
      <c r="J26" cm="1">
        <f t="array" ref="J26">AVERAGE(_xlfn._xlws.FILTER(F:F, H:H=I26))</f>
        <v>8.5265170706829743</v>
      </c>
    </row>
    <row r="27" spans="1:24">
      <c r="A27" s="1">
        <v>2</v>
      </c>
      <c r="B27" s="1">
        <v>1</v>
      </c>
      <c r="C27" s="1" t="s">
        <v>7</v>
      </c>
      <c r="D27" s="1">
        <v>80.114909999999995</v>
      </c>
      <c r="E27" s="1">
        <v>76.084569999999999</v>
      </c>
      <c r="F27" s="1">
        <v>-4.0303399999999998</v>
      </c>
      <c r="G27" s="1">
        <v>1348</v>
      </c>
      <c r="H27" s="1" t="s">
        <v>38</v>
      </c>
      <c r="I27" t="s">
        <v>27</v>
      </c>
      <c r="J27" cm="1">
        <f t="array" ref="J27">AVERAGE(_xlfn._xlws.FILTER(F:F, H:H=I27))</f>
        <v>10.050843843260406</v>
      </c>
    </row>
    <row r="28" spans="1:24">
      <c r="I28" t="s">
        <v>57</v>
      </c>
      <c r="J28" cm="1">
        <f t="array" ref="J28">AVERAGE(_xlfn._xlws.FILTER(F:F, H:H=I28))</f>
        <v>8.4033346181907902</v>
      </c>
    </row>
    <row r="29" spans="1:24">
      <c r="A29" s="1">
        <v>2</v>
      </c>
      <c r="B29" s="1">
        <v>3</v>
      </c>
      <c r="C29" s="1" t="s">
        <v>43</v>
      </c>
      <c r="D29" s="1">
        <v>75.438310000000001</v>
      </c>
      <c r="E29" s="1">
        <v>80.817449999999994</v>
      </c>
      <c r="F29" s="1">
        <v>5.3791399999999996</v>
      </c>
      <c r="G29" s="1">
        <v>871</v>
      </c>
      <c r="H29" s="1" t="s">
        <v>40</v>
      </c>
      <c r="I29" t="s">
        <v>14</v>
      </c>
      <c r="J29" cm="1">
        <f t="array" ref="J29">AVERAGE(_xlfn._xlws.FILTER(D:D, C:C=I29))</f>
        <v>88.183085635561</v>
      </c>
    </row>
    <row r="30" spans="1:24">
      <c r="A30" s="1">
        <v>2</v>
      </c>
      <c r="B30" s="1">
        <v>4</v>
      </c>
      <c r="C30" s="1" t="s">
        <v>0</v>
      </c>
      <c r="D30" s="1">
        <v>87.957189999999997</v>
      </c>
      <c r="E30" s="1">
        <v>87.187100000000001</v>
      </c>
      <c r="F30" s="1">
        <v>-0.77009000000000005</v>
      </c>
      <c r="G30" s="1">
        <v>775</v>
      </c>
      <c r="H30" s="1" t="s">
        <v>38</v>
      </c>
      <c r="I30" t="s">
        <v>15</v>
      </c>
      <c r="J30" cm="1">
        <f t="array" ref="J30">AVERAGE(_xlfn._xlws.FILTER(D:D, C:C=I30))</f>
        <v>83.800201146200237</v>
      </c>
    </row>
    <row r="31" spans="1:24">
      <c r="A31" s="1">
        <v>2</v>
      </c>
      <c r="B31" s="1">
        <v>5</v>
      </c>
      <c r="C31" s="1" t="s">
        <v>9</v>
      </c>
      <c r="D31" s="1">
        <v>79.181820000000002</v>
      </c>
      <c r="E31" s="1">
        <v>95.825919999999996</v>
      </c>
      <c r="F31" s="1">
        <v>16.644100000000002</v>
      </c>
      <c r="G31" s="1">
        <v>1327</v>
      </c>
      <c r="H31" s="1" t="s">
        <v>37</v>
      </c>
      <c r="I31" t="s">
        <v>36</v>
      </c>
      <c r="J31" cm="1">
        <f t="array" ref="J31">AVERAGE(_xlfn._xlws.FILTER(D:D, C:C=I31))</f>
        <v>71.84023868373572</v>
      </c>
    </row>
    <row r="32" spans="1:24">
      <c r="A32" s="1">
        <v>2</v>
      </c>
      <c r="B32" s="1">
        <v>6</v>
      </c>
      <c r="C32" s="1" t="s">
        <v>4</v>
      </c>
      <c r="D32" s="1">
        <v>85.029700000000005</v>
      </c>
      <c r="E32" s="1">
        <v>97.354489999999998</v>
      </c>
      <c r="F32" s="1">
        <v>12.32479</v>
      </c>
      <c r="G32" s="1">
        <v>1292</v>
      </c>
      <c r="H32" s="1" t="s">
        <v>37</v>
      </c>
      <c r="I32" t="s">
        <v>16</v>
      </c>
      <c r="J32" cm="1">
        <f t="array" ref="J32">AVERAGE(_xlfn._xlws.FILTER(D:D, C:C=I32))</f>
        <v>80.187919463087255</v>
      </c>
    </row>
    <row r="33" spans="1:12">
      <c r="A33" s="1">
        <v>2</v>
      </c>
      <c r="B33" s="1">
        <v>7</v>
      </c>
      <c r="C33" s="1" t="s">
        <v>44</v>
      </c>
      <c r="D33" s="1">
        <v>80.572580000000002</v>
      </c>
      <c r="E33" s="1">
        <v>101.7406</v>
      </c>
      <c r="F33" s="1">
        <v>21.168050000000001</v>
      </c>
      <c r="G33" s="1">
        <v>1307</v>
      </c>
      <c r="H33" s="1" t="s">
        <v>42</v>
      </c>
      <c r="I33" t="s">
        <v>17</v>
      </c>
      <c r="J33" cm="1">
        <f t="array" ref="J33">AVERAGE(_xlfn._xlws.FILTER(D:D, C:C=I33))</f>
        <v>89.829274029850751</v>
      </c>
    </row>
    <row r="34" spans="1:12">
      <c r="A34" s="1">
        <v>2</v>
      </c>
      <c r="B34" s="1">
        <v>8</v>
      </c>
      <c r="C34" s="1" t="s">
        <v>8</v>
      </c>
      <c r="D34" s="1">
        <v>65.573639999999997</v>
      </c>
      <c r="E34" s="1">
        <v>76.050409999999999</v>
      </c>
      <c r="F34" s="1">
        <v>10.476760000000001</v>
      </c>
      <c r="G34" s="1">
        <v>1349</v>
      </c>
      <c r="H34" s="1" t="s">
        <v>39</v>
      </c>
      <c r="I34" t="s">
        <v>18</v>
      </c>
      <c r="J34" cm="1">
        <f t="array" ref="J34">AVERAGE(_xlfn._xlws.FILTER(D:D, C:C=I34))</f>
        <v>87.932515337423311</v>
      </c>
    </row>
    <row r="35" spans="1:12">
      <c r="A35" s="1">
        <v>2</v>
      </c>
      <c r="B35" s="1">
        <v>9</v>
      </c>
      <c r="C35" s="1" t="s">
        <v>45</v>
      </c>
      <c r="D35" s="1">
        <v>89.791039999999995</v>
      </c>
      <c r="E35" s="1">
        <v>87.404979999999995</v>
      </c>
      <c r="F35" s="1">
        <v>-2.3860700000000001</v>
      </c>
      <c r="G35" s="1">
        <v>1326</v>
      </c>
      <c r="H35" s="1" t="s">
        <v>38</v>
      </c>
      <c r="I35" t="s">
        <v>35</v>
      </c>
      <c r="J35" cm="1">
        <f t="array" ref="J35">AVERAGE(_xlfn._xlws.FILTER(D:D, C:C=I35))</f>
        <v>79.853599484681681</v>
      </c>
    </row>
    <row r="36" spans="1:12">
      <c r="A36">
        <v>6</v>
      </c>
      <c r="B36">
        <v>1</v>
      </c>
      <c r="C36" t="s">
        <v>0</v>
      </c>
      <c r="D36">
        <v>99.151515151515198</v>
      </c>
      <c r="E36">
        <v>98.105126541207014</v>
      </c>
      <c r="F36">
        <v>-1.0463886103081421</v>
      </c>
      <c r="G36">
        <v>1541</v>
      </c>
      <c r="H36" t="s">
        <v>26</v>
      </c>
      <c r="I36" t="s">
        <v>19</v>
      </c>
      <c r="J36" cm="1">
        <f t="array" ref="J36">AVERAGE(_xlfn._xlws.FILTER(D:D, C:C=I36))</f>
        <v>78.131499225071835</v>
      </c>
    </row>
    <row r="37" spans="1:12">
      <c r="I37" t="s">
        <v>20</v>
      </c>
      <c r="J37" cm="1">
        <f t="array" ref="J37">AVERAGE(_xlfn._xlws.FILTER(D:D, C:C=I37))</f>
        <v>74.327525771615768</v>
      </c>
    </row>
    <row r="38" spans="1:12">
      <c r="A38">
        <v>6</v>
      </c>
      <c r="B38">
        <v>3</v>
      </c>
      <c r="C38" t="s">
        <v>2</v>
      </c>
      <c r="D38">
        <v>73.560283687943269</v>
      </c>
      <c r="E38">
        <v>81.065934065934073</v>
      </c>
      <c r="F38">
        <v>7.5056503779908041</v>
      </c>
      <c r="G38">
        <v>546</v>
      </c>
      <c r="H38" t="s">
        <v>27</v>
      </c>
      <c r="I38" t="s">
        <v>21</v>
      </c>
      <c r="J38" cm="1">
        <f t="array" ref="J38">AVERAGE(_xlfn._xlws.FILTER(D:D, C:C=I38))</f>
        <v>82.450350840452302</v>
      </c>
    </row>
    <row r="39" spans="1:12">
      <c r="A39">
        <v>6</v>
      </c>
      <c r="B39">
        <v>4</v>
      </c>
      <c r="C39" t="s">
        <v>3</v>
      </c>
      <c r="D39">
        <v>80.187919463087255</v>
      </c>
      <c r="E39">
        <v>75.083333333333329</v>
      </c>
      <c r="F39">
        <v>-5.1045861297539261</v>
      </c>
      <c r="G39">
        <v>324</v>
      </c>
      <c r="H39" t="s">
        <v>29</v>
      </c>
      <c r="I39" t="s">
        <v>22</v>
      </c>
      <c r="J39" cm="1">
        <f t="array" ref="J39">AVERAGE(_xlfn._xlws.FILTER(D:D, C:C=I39))</f>
        <v>91.702204999999992</v>
      </c>
    </row>
    <row r="40" spans="1:12">
      <c r="A40">
        <v>6</v>
      </c>
      <c r="B40">
        <v>5</v>
      </c>
      <c r="C40" t="s">
        <v>4</v>
      </c>
      <c r="D40">
        <v>103.3</v>
      </c>
      <c r="E40">
        <v>98.220110847189233</v>
      </c>
      <c r="F40">
        <v>-5.0798891528107646</v>
      </c>
      <c r="G40">
        <v>1263</v>
      </c>
      <c r="H40" t="s">
        <v>46</v>
      </c>
      <c r="I40" t="s">
        <v>23</v>
      </c>
      <c r="J40" cm="1">
        <f t="array" ref="J40">AVERAGE(_xlfn._xlws.FILTER(D:D, C:C=I40))</f>
        <v>73.800565271132371</v>
      </c>
    </row>
    <row r="41" spans="1:12">
      <c r="A41">
        <v>6</v>
      </c>
      <c r="B41">
        <v>6</v>
      </c>
      <c r="C41" t="s">
        <v>5</v>
      </c>
      <c r="D41">
        <v>87.932515337423311</v>
      </c>
      <c r="E41">
        <v>84.309716599190281</v>
      </c>
      <c r="F41">
        <v>-3.6227987382330298</v>
      </c>
      <c r="G41">
        <v>988</v>
      </c>
      <c r="H41" t="s">
        <v>30</v>
      </c>
      <c r="I41" t="s">
        <v>24</v>
      </c>
      <c r="J41" cm="1">
        <f t="array" ref="J41">AVERAGE(_xlfn._xlws.FILTER(D:D, C:C=I41))</f>
        <v>87.258951304347832</v>
      </c>
    </row>
    <row r="42" spans="1:12">
      <c r="A42">
        <v>6</v>
      </c>
      <c r="B42">
        <v>7</v>
      </c>
      <c r="C42" t="s">
        <v>6</v>
      </c>
      <c r="D42">
        <v>79.662420382165607</v>
      </c>
      <c r="E42">
        <v>80.709309309309305</v>
      </c>
      <c r="F42">
        <v>1.0468889271436979</v>
      </c>
      <c r="G42">
        <v>1665</v>
      </c>
      <c r="H42" t="s">
        <v>33</v>
      </c>
      <c r="I42" t="s">
        <v>25</v>
      </c>
      <c r="J42" cm="1">
        <f t="array" ref="J42">AVERAGE(_xlfn._xlws.FILTER(D:D, C:C=I42))</f>
        <v>97.045837510876737</v>
      </c>
    </row>
    <row r="43" spans="1:12">
      <c r="A43">
        <v>6</v>
      </c>
      <c r="B43">
        <v>8</v>
      </c>
      <c r="C43" t="s">
        <v>7</v>
      </c>
      <c r="D43">
        <v>91.569696969696963</v>
      </c>
      <c r="E43">
        <v>73.557955363570912</v>
      </c>
      <c r="F43">
        <v>-18.011741606126051</v>
      </c>
      <c r="G43">
        <v>1389</v>
      </c>
      <c r="H43" t="s">
        <v>29</v>
      </c>
    </row>
    <row r="44" spans="1:12">
      <c r="A44">
        <v>6</v>
      </c>
      <c r="B44">
        <v>9</v>
      </c>
      <c r="C44" t="s">
        <v>8</v>
      </c>
      <c r="D44">
        <v>81.321212121212127</v>
      </c>
      <c r="E44">
        <v>83.004575163398698</v>
      </c>
      <c r="F44">
        <v>1.6833630421865706</v>
      </c>
      <c r="G44">
        <v>1530</v>
      </c>
      <c r="H44" t="s">
        <v>32</v>
      </c>
      <c r="I44" t="s">
        <v>60</v>
      </c>
      <c r="J44" t="s">
        <v>59</v>
      </c>
      <c r="K44" t="s">
        <v>60</v>
      </c>
      <c r="L44" t="s">
        <v>60</v>
      </c>
    </row>
    <row r="45" spans="1:12">
      <c r="A45">
        <v>6</v>
      </c>
      <c r="B45">
        <v>10</v>
      </c>
      <c r="C45" t="s">
        <v>9</v>
      </c>
      <c r="D45">
        <v>85.042857142857144</v>
      </c>
      <c r="E45">
        <v>100.15291262135922</v>
      </c>
      <c r="F45">
        <v>15.110055478502076</v>
      </c>
      <c r="G45">
        <v>824</v>
      </c>
      <c r="H45" t="s">
        <v>31</v>
      </c>
      <c r="I45" t="s">
        <v>61</v>
      </c>
      <c r="J45" t="s">
        <v>59</v>
      </c>
      <c r="K45" t="s">
        <v>59</v>
      </c>
      <c r="L45" t="s">
        <v>60</v>
      </c>
    </row>
    <row r="46" spans="1:12">
      <c r="A46">
        <v>3</v>
      </c>
      <c r="B46">
        <v>1</v>
      </c>
      <c r="C46" t="s">
        <v>7</v>
      </c>
      <c r="D46">
        <v>79.455882352941174</v>
      </c>
      <c r="E46">
        <v>81.463004484304932</v>
      </c>
      <c r="F46">
        <v>2.0071221313637579</v>
      </c>
      <c r="G46">
        <v>892</v>
      </c>
      <c r="H46" t="s">
        <v>27</v>
      </c>
    </row>
    <row r="47" spans="1:12">
      <c r="A47">
        <v>3</v>
      </c>
      <c r="B47">
        <v>4</v>
      </c>
      <c r="C47" t="s">
        <v>0</v>
      </c>
      <c r="D47">
        <v>84.35664335664336</v>
      </c>
      <c r="E47">
        <v>87.8671875</v>
      </c>
      <c r="F47">
        <v>3.5105441433566398</v>
      </c>
      <c r="G47">
        <v>896</v>
      </c>
      <c r="H47" t="s">
        <v>47</v>
      </c>
    </row>
    <row r="48" spans="1:12">
      <c r="A48">
        <v>3</v>
      </c>
      <c r="B48">
        <v>5</v>
      </c>
      <c r="C48" t="s">
        <v>9</v>
      </c>
      <c r="D48">
        <v>74.695652173913047</v>
      </c>
      <c r="E48">
        <v>92.173780487804876</v>
      </c>
      <c r="F48">
        <v>17.47812831389183</v>
      </c>
      <c r="G48">
        <v>328</v>
      </c>
      <c r="H48" t="s">
        <v>33</v>
      </c>
    </row>
    <row r="49" spans="1:8">
      <c r="A49">
        <v>3</v>
      </c>
      <c r="B49">
        <v>6</v>
      </c>
      <c r="C49" t="s">
        <v>4</v>
      </c>
      <c r="D49">
        <v>82.544776119402982</v>
      </c>
      <c r="E49">
        <v>85.6217183770883</v>
      </c>
      <c r="F49">
        <v>3.0769422576853174</v>
      </c>
      <c r="G49">
        <v>838</v>
      </c>
      <c r="H49" t="s">
        <v>30</v>
      </c>
    </row>
    <row r="50" spans="1:8">
      <c r="A50">
        <v>3</v>
      </c>
      <c r="B50">
        <v>7</v>
      </c>
      <c r="C50" t="s">
        <v>44</v>
      </c>
      <c r="D50">
        <v>91.320895522388057</v>
      </c>
      <c r="E50">
        <v>100.01371428571429</v>
      </c>
      <c r="F50">
        <v>8.6928187633262297</v>
      </c>
      <c r="G50">
        <v>875</v>
      </c>
      <c r="H50" t="s">
        <v>29</v>
      </c>
    </row>
    <row r="51" spans="1:8">
      <c r="A51">
        <v>3</v>
      </c>
      <c r="B51">
        <v>8</v>
      </c>
      <c r="C51" t="s">
        <v>8</v>
      </c>
      <c r="D51">
        <v>77.592857142857142</v>
      </c>
      <c r="E51">
        <v>74.478723404255319</v>
      </c>
      <c r="F51">
        <v>-3.1141337386018222</v>
      </c>
      <c r="G51">
        <v>658</v>
      </c>
      <c r="H51" t="s">
        <v>46</v>
      </c>
    </row>
    <row r="52" spans="1:8">
      <c r="A52">
        <v>9</v>
      </c>
      <c r="B52">
        <v>1</v>
      </c>
      <c r="C52" t="s">
        <v>8</v>
      </c>
      <c r="D52">
        <v>72.822393822393806</v>
      </c>
      <c r="E52">
        <v>77.965798045602611</v>
      </c>
      <c r="F52">
        <v>5.1434042232087904</v>
      </c>
      <c r="G52">
        <v>614</v>
      </c>
      <c r="H52" t="s">
        <v>27</v>
      </c>
    </row>
    <row r="53" spans="1:8">
      <c r="A53">
        <v>9</v>
      </c>
      <c r="B53">
        <v>2</v>
      </c>
      <c r="C53" t="s">
        <v>7</v>
      </c>
      <c r="D53">
        <v>74.517006802721085</v>
      </c>
      <c r="E53">
        <v>74.546247818499126</v>
      </c>
      <c r="F53">
        <v>2.9241015778040946E-2</v>
      </c>
      <c r="G53">
        <v>573</v>
      </c>
      <c r="H53" t="s">
        <v>51</v>
      </c>
    </row>
    <row r="54" spans="1:8">
      <c r="A54">
        <v>9</v>
      </c>
      <c r="B54">
        <v>3</v>
      </c>
      <c r="C54" t="s">
        <v>50</v>
      </c>
      <c r="D54">
        <v>72.822393822393806</v>
      </c>
      <c r="E54">
        <v>78.20650095602295</v>
      </c>
      <c r="F54">
        <f>E54-D54</f>
        <v>5.3841071336291435</v>
      </c>
      <c r="G54">
        <v>523</v>
      </c>
      <c r="H54" t="s">
        <v>29</v>
      </c>
    </row>
    <row r="55" spans="1:8">
      <c r="A55">
        <v>9</v>
      </c>
      <c r="B55">
        <v>4</v>
      </c>
      <c r="C55" t="s">
        <v>0</v>
      </c>
      <c r="D55">
        <v>82.652830188679246</v>
      </c>
      <c r="E55">
        <v>86.63778162911612</v>
      </c>
      <c r="F55">
        <v>3.9849514404368733</v>
      </c>
      <c r="G55">
        <v>577</v>
      </c>
      <c r="H55" t="s">
        <v>29</v>
      </c>
    </row>
    <row r="56" spans="1:8">
      <c r="A56">
        <v>9</v>
      </c>
      <c r="B56">
        <v>5</v>
      </c>
      <c r="C56" t="s">
        <v>9</v>
      </c>
      <c r="D56">
        <v>77.833962264150941</v>
      </c>
      <c r="E56">
        <v>76.882149046793756</v>
      </c>
      <c r="F56">
        <v>-0.95181321735718427</v>
      </c>
      <c r="G56">
        <v>577</v>
      </c>
      <c r="H56" t="s">
        <v>29</v>
      </c>
    </row>
    <row r="57" spans="1:8">
      <c r="A57">
        <v>16</v>
      </c>
      <c r="B57">
        <v>1</v>
      </c>
      <c r="C57" t="s">
        <v>52</v>
      </c>
      <c r="D57">
        <v>84.796019900497512</v>
      </c>
      <c r="E57">
        <v>85.593818984547468</v>
      </c>
      <c r="F57">
        <v>0.79779908404995581</v>
      </c>
      <c r="G57">
        <v>453</v>
      </c>
      <c r="H57" s="1" t="s">
        <v>30</v>
      </c>
    </row>
    <row r="58" spans="1:8">
      <c r="A58">
        <v>16</v>
      </c>
      <c r="B58">
        <v>2</v>
      </c>
      <c r="C58" t="s">
        <v>35</v>
      </c>
      <c r="D58">
        <v>81.529411764705884</v>
      </c>
      <c r="E58">
        <v>82.406867845993759</v>
      </c>
      <c r="F58">
        <v>0.87745608128787467</v>
      </c>
      <c r="G58">
        <v>961</v>
      </c>
      <c r="H58" s="1" t="s">
        <v>28</v>
      </c>
    </row>
    <row r="59" spans="1:8">
      <c r="A59">
        <v>16</v>
      </c>
      <c r="B59">
        <v>5</v>
      </c>
      <c r="C59" t="s">
        <v>11</v>
      </c>
      <c r="D59">
        <v>70.846590909090907</v>
      </c>
      <c r="E59">
        <v>95.040336134453781</v>
      </c>
      <c r="F59">
        <v>24.193745225362875</v>
      </c>
      <c r="G59">
        <v>1190</v>
      </c>
      <c r="H59" s="1" t="s">
        <v>28</v>
      </c>
    </row>
    <row r="60" spans="1:8">
      <c r="A60">
        <v>16</v>
      </c>
      <c r="B60">
        <v>6</v>
      </c>
      <c r="C60" t="s">
        <v>13</v>
      </c>
      <c r="D60">
        <v>111.28571428571429</v>
      </c>
      <c r="E60">
        <v>118.69898819561551</v>
      </c>
      <c r="F60">
        <v>7.4132739099012213</v>
      </c>
      <c r="G60">
        <v>1186</v>
      </c>
      <c r="H60" s="1" t="s">
        <v>29</v>
      </c>
    </row>
    <row r="61" spans="1:8">
      <c r="A61">
        <v>16</v>
      </c>
      <c r="B61">
        <v>7</v>
      </c>
      <c r="C61" t="s">
        <v>1</v>
      </c>
      <c r="D61">
        <v>83.391221374045799</v>
      </c>
      <c r="E61">
        <v>83.236486486486484</v>
      </c>
      <c r="F61">
        <v>-0.15473488755931442</v>
      </c>
      <c r="G61">
        <v>888</v>
      </c>
      <c r="H61" s="1" t="s">
        <v>29</v>
      </c>
    </row>
    <row r="62" spans="1:8">
      <c r="A62">
        <v>16</v>
      </c>
      <c r="B62">
        <v>8</v>
      </c>
      <c r="C62" t="s">
        <v>53</v>
      </c>
      <c r="D62">
        <v>66.750611246943762</v>
      </c>
      <c r="E62">
        <v>75.376838235294116</v>
      </c>
      <c r="F62">
        <v>8.6262269883503535</v>
      </c>
      <c r="G62">
        <v>544</v>
      </c>
      <c r="H62" s="1" t="s">
        <v>33</v>
      </c>
    </row>
    <row r="63" spans="1:8">
      <c r="A63">
        <v>16</v>
      </c>
      <c r="B63">
        <v>9</v>
      </c>
      <c r="C63" t="s">
        <v>9</v>
      </c>
      <c r="D63">
        <v>76.60928961748634</v>
      </c>
      <c r="E63">
        <v>87.179954441913438</v>
      </c>
      <c r="F63">
        <v>10.570664824427098</v>
      </c>
      <c r="G63">
        <v>878</v>
      </c>
      <c r="H63" s="1" t="s">
        <v>29</v>
      </c>
    </row>
    <row r="64" spans="1:8">
      <c r="A64">
        <v>16</v>
      </c>
      <c r="B64">
        <v>10</v>
      </c>
      <c r="C64" t="s">
        <v>2</v>
      </c>
      <c r="D64">
        <v>77.909604519774007</v>
      </c>
      <c r="E64">
        <v>79.794463087248317</v>
      </c>
      <c r="F64">
        <v>1.8848585674743106</v>
      </c>
      <c r="G64">
        <v>1192</v>
      </c>
      <c r="H64" s="1" t="s">
        <v>51</v>
      </c>
    </row>
    <row r="65" spans="1:8">
      <c r="A65">
        <v>15</v>
      </c>
      <c r="B65">
        <v>1</v>
      </c>
      <c r="C65" t="s">
        <v>52</v>
      </c>
      <c r="D65">
        <v>78.954545454545453</v>
      </c>
      <c r="E65">
        <v>92.418426103646837</v>
      </c>
      <c r="F65">
        <v>13.463880649101384</v>
      </c>
      <c r="G65">
        <v>521</v>
      </c>
      <c r="H65" s="1" t="s">
        <v>56</v>
      </c>
    </row>
    <row r="66" spans="1:8">
      <c r="A66">
        <v>15</v>
      </c>
      <c r="B66">
        <v>2</v>
      </c>
      <c r="C66" t="s">
        <v>35</v>
      </c>
      <c r="D66">
        <v>76.968325791855207</v>
      </c>
      <c r="E66">
        <v>78.628454452405322</v>
      </c>
      <c r="F66">
        <v>1.6601286605501144</v>
      </c>
      <c r="G66">
        <v>977</v>
      </c>
      <c r="H66" s="1" t="s">
        <v>49</v>
      </c>
    </row>
    <row r="67" spans="1:8">
      <c r="A67">
        <v>15</v>
      </c>
      <c r="B67">
        <v>3</v>
      </c>
      <c r="C67" t="s">
        <v>54</v>
      </c>
      <c r="D67">
        <v>84.966981132075475</v>
      </c>
      <c r="E67">
        <v>88.99186991869918</v>
      </c>
      <c r="F67">
        <v>4.0248887866237055</v>
      </c>
      <c r="G67">
        <v>738</v>
      </c>
      <c r="H67" s="1" t="s">
        <v>29</v>
      </c>
    </row>
    <row r="68" spans="1:8">
      <c r="A68">
        <v>15</v>
      </c>
      <c r="B68">
        <v>4</v>
      </c>
      <c r="C68" t="s">
        <v>55</v>
      </c>
      <c r="D68">
        <v>96.764192139737986</v>
      </c>
      <c r="E68">
        <v>76.553483807654558</v>
      </c>
      <c r="F68">
        <v>-20.210708332083428</v>
      </c>
      <c r="G68">
        <v>1019</v>
      </c>
      <c r="H68" s="1" t="s">
        <v>29</v>
      </c>
    </row>
    <row r="69" spans="1:8">
      <c r="A69">
        <v>15</v>
      </c>
      <c r="B69">
        <v>5</v>
      </c>
      <c r="C69" t="s">
        <v>11</v>
      </c>
      <c r="D69">
        <v>70.908333333333331</v>
      </c>
      <c r="E69">
        <v>82.906534325889169</v>
      </c>
      <c r="F69">
        <v>11.998200992555837</v>
      </c>
      <c r="G69">
        <v>1209</v>
      </c>
      <c r="H69" s="1" t="s">
        <v>28</v>
      </c>
    </row>
    <row r="70" spans="1:8">
      <c r="A70">
        <v>15</v>
      </c>
      <c r="B70">
        <v>6</v>
      </c>
      <c r="C70" t="s">
        <v>13</v>
      </c>
      <c r="D70">
        <v>108.34297520661157</v>
      </c>
      <c r="E70">
        <v>122.55608365019012</v>
      </c>
      <c r="F70">
        <v>14.213108443578548</v>
      </c>
      <c r="G70">
        <v>1052</v>
      </c>
      <c r="H70" t="s">
        <v>32</v>
      </c>
    </row>
    <row r="71" spans="1:8">
      <c r="A71">
        <v>15</v>
      </c>
      <c r="B71">
        <v>7</v>
      </c>
      <c r="C71" t="s">
        <v>1</v>
      </c>
      <c r="D71">
        <v>78.987499999999997</v>
      </c>
      <c r="E71">
        <v>85.48972884141331</v>
      </c>
      <c r="F71">
        <v>6.5022288414133129</v>
      </c>
      <c r="G71">
        <v>1217</v>
      </c>
      <c r="H71" s="1" t="s">
        <v>29</v>
      </c>
    </row>
    <row r="72" spans="1:8">
      <c r="A72">
        <v>15</v>
      </c>
      <c r="B72">
        <v>8</v>
      </c>
      <c r="C72" t="s">
        <v>53</v>
      </c>
      <c r="D72">
        <v>70.174311926605498</v>
      </c>
      <c r="E72">
        <v>71.870925684485002</v>
      </c>
      <c r="F72">
        <v>1.6966137578795042</v>
      </c>
      <c r="G72">
        <v>767</v>
      </c>
      <c r="H72" s="1" t="s">
        <v>57</v>
      </c>
    </row>
    <row r="73" spans="1:8">
      <c r="A73">
        <v>15</v>
      </c>
      <c r="B73">
        <v>9</v>
      </c>
      <c r="C73" t="s">
        <v>9</v>
      </c>
      <c r="D73">
        <v>73.441025641025647</v>
      </c>
      <c r="E73">
        <v>91.13448607108549</v>
      </c>
      <c r="F73">
        <v>17.693460430059801</v>
      </c>
      <c r="G73">
        <v>1041</v>
      </c>
      <c r="H73" t="s">
        <v>58</v>
      </c>
    </row>
    <row r="74" spans="1:8">
      <c r="A74">
        <v>15</v>
      </c>
      <c r="B74">
        <v>10</v>
      </c>
      <c r="C74" t="s">
        <v>2</v>
      </c>
      <c r="D74">
        <v>70.239669421487605</v>
      </c>
      <c r="E74">
        <v>79.065693430656935</v>
      </c>
      <c r="F74">
        <v>8.8260240091693305</v>
      </c>
      <c r="G74">
        <v>1096</v>
      </c>
      <c r="H74" t="s">
        <v>32</v>
      </c>
    </row>
    <row r="87" spans="1:8">
      <c r="A87">
        <v>3</v>
      </c>
      <c r="B87">
        <v>9</v>
      </c>
      <c r="C87" t="s">
        <v>48</v>
      </c>
      <c r="D87" cm="1">
        <f t="array" ref="D87">AVERAGE(_xlfn._xlws.FILTER($D$1:D86, $C$1:C86=C87))</f>
        <v>89.791039999999995</v>
      </c>
      <c r="E87">
        <v>82.70866141732283</v>
      </c>
      <c r="F87" s="1">
        <f>E87-D87</f>
        <v>-7.0823785826771655</v>
      </c>
      <c r="G87">
        <v>889</v>
      </c>
      <c r="H87" t="s">
        <v>29</v>
      </c>
    </row>
    <row r="88" spans="1:8">
      <c r="A88" s="1">
        <v>2</v>
      </c>
      <c r="B88" s="1">
        <v>2</v>
      </c>
      <c r="C88" s="1" t="s">
        <v>23</v>
      </c>
      <c r="D88" cm="1">
        <f t="array" ref="D88">AVERAGE(_xlfn._xlws.FILTER($D$1:D87, $C$1:C87=C88))</f>
        <v>73.800565271132371</v>
      </c>
      <c r="E88" s="1">
        <v>88.738870000000006</v>
      </c>
      <c r="F88" s="1">
        <f>E88-D88</f>
        <v>14.938304728867635</v>
      </c>
      <c r="G88" s="1">
        <v>988</v>
      </c>
      <c r="H88" s="1" t="s">
        <v>41</v>
      </c>
    </row>
    <row r="89" spans="1:8">
      <c r="A89">
        <v>12</v>
      </c>
      <c r="B89">
        <v>6</v>
      </c>
      <c r="C89" t="s">
        <v>7</v>
      </c>
      <c r="D89" cm="1">
        <f t="array" ref="D89">AVERAGE(_xlfn._xlws.FILTER($D$1:D88, $C$1:C88=C89))</f>
        <v>78.131499225071849</v>
      </c>
      <c r="E89">
        <v>71.94111232279171</v>
      </c>
      <c r="F89" s="1">
        <f t="shared" ref="F89:F92" si="0">E89-D89</f>
        <v>-6.1903869022801388</v>
      </c>
      <c r="G89">
        <v>917</v>
      </c>
      <c r="H89" t="s">
        <v>34</v>
      </c>
    </row>
    <row r="90" spans="1:8">
      <c r="A90" s="1">
        <v>8</v>
      </c>
      <c r="B90" s="1">
        <v>3</v>
      </c>
      <c r="C90" s="1" t="s">
        <v>2</v>
      </c>
      <c r="D90" cm="1">
        <f t="array" ref="D90">AVERAGE(_xlfn._xlws.FILTER($D$1:D89, $C$1:C89=C90))</f>
        <v>71.84023868373572</v>
      </c>
      <c r="E90" s="1">
        <v>73.830389999999994</v>
      </c>
      <c r="F90" s="1">
        <f t="shared" si="0"/>
        <v>1.9901513162642743</v>
      </c>
      <c r="G90" s="1">
        <v>849</v>
      </c>
      <c r="H90" s="1" t="s">
        <v>42</v>
      </c>
    </row>
    <row r="91" spans="1:8">
      <c r="A91" s="1">
        <v>8</v>
      </c>
      <c r="B91" s="1">
        <v>5</v>
      </c>
      <c r="C91" s="1" t="s">
        <v>5</v>
      </c>
      <c r="D91" cm="1">
        <f t="array" ref="D91">AVERAGE(_xlfn._xlws.FILTER($D$1:D90, $C$1:C90=C91))</f>
        <v>87.932515337423311</v>
      </c>
      <c r="E91" s="1">
        <v>108.7723</v>
      </c>
      <c r="F91" s="1">
        <f>E91-D91</f>
        <v>20.83978466257669</v>
      </c>
      <c r="G91" s="1">
        <v>606</v>
      </c>
      <c r="H91" s="1" t="s">
        <v>37</v>
      </c>
    </row>
    <row r="92" spans="1:8">
      <c r="A92">
        <v>3</v>
      </c>
      <c r="B92">
        <v>3</v>
      </c>
      <c r="C92" t="s">
        <v>43</v>
      </c>
      <c r="D92" cm="1">
        <f t="array" ref="D92">AVERAGE(_xlfn._xlws.FILTER($D$1:D91, $C$1:C91=C92))</f>
        <v>75.438310000000001</v>
      </c>
      <c r="E92">
        <v>80.581395348837205</v>
      </c>
      <c r="F92" s="1">
        <f t="shared" si="0"/>
        <v>5.1430853488372037</v>
      </c>
      <c r="G92">
        <v>43</v>
      </c>
      <c r="H92" t="s">
        <v>32</v>
      </c>
    </row>
  </sheetData>
  <phoneticPr fontId="2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2025-09-22T03:40:06Z</dcterms:created>
  <dcterms:modified xsi:type="dcterms:W3CDTF">2026-02-03T04:49:25Z</dcterms:modified>
  <cp:category/>
</cp:coreProperties>
</file>